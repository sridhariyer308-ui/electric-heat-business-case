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ement TEA — Step by Ste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<sst xmlns="http://schemas.openxmlformats.org/spreadsheetml/2006/main" count="165" uniqueCount="143">
  <si>
    <t xml:space="preserve">HyperHeat — Should a Cement Plant Switch from Gas to Electric?  |  Step-by-Step  |  2025 Real Data</t>
  </si>
  <si>
    <t xml:space="preserve">Column A = What is this?   |   Column B = Plain English explanation   |   Column C = The actual number   |   Column D = Unit   |   Column E = Where did this number come from?</t>
  </si>
  <si>
    <t xml:space="preserve">WHAT IS THIS?</t>
  </si>
  <si>
    <t xml:space="preserve">PLAIN ENGLISH — what does this mean?</t>
  </si>
  <si>
    <t xml:space="preserve">NUMBER</t>
  </si>
  <si>
    <t xml:space="preserve">UNIT</t>
  </si>
  <si>
    <t xml:space="preserve">SOURCE — where did this come from?</t>
  </si>
  <si>
    <t xml:space="preserve">STEP 1:  PLANT SIZE   —   How big is this cement plant and how much cement does it make?</t>
  </si>
  <si>
    <t xml:space="preserve">Cement Output</t>
  </si>
  <si>
    <t xml:space="preserve">This plant makes 1 million tonnes of cement every year. Cement is the grey powder mixed with water and sand to make concrete — used in every building, road, bridge.</t>
  </si>
  <si>
    <t xml:space="preserve">tonnes/year</t>
  </si>
  <si>
    <t xml:space="preserve">Typical large EU cement plant. HeidelbergMaterials, Holcim plants avg 1-2 Mt/year.</t>
  </si>
  <si>
    <t xml:space="preserve">Heat Needed per Tonne</t>
  </si>
  <si>
    <t xml:space="preserve">To make cement, limestone must be heated to 1450°C in a giant rotating drum called a kiln. This requires 3.5 GJ of heat per tonne of clinker. (Clinker = intermediate product before final cement is made.)</t>
  </si>
  <si>
    <t xml:space="preserve">GJ per tonne clinker</t>
  </si>
  <si>
    <t xml:space="preserve">IEA Cement Report 2023. Modern dry kiln with preheater+precalciner. iea.org/reports/cement</t>
  </si>
  <si>
    <t xml:space="preserve">Clinker to Cement Ratio</t>
  </si>
  <si>
    <t xml:space="preserve">Not all cement is pure clinker. Modern cement mixes ~75% clinker with 25% other materials (slag, ash). So per tonne of CEMENT, you need 0.75 tonnes of clinker. This saves energy.</t>
  </si>
  <si>
    <t xml:space="preserve">ratio</t>
  </si>
  <si>
    <t xml:space="preserve">EU average clinker ratio. Cembureau 2024. Target: reduce to 0.65 by 2030.</t>
  </si>
  <si>
    <t xml:space="preserve">Plant Operating Hours</t>
  </si>
  <si>
    <t xml:space="preserve">Cement kilns run almost continuously — 8,000 hours per year (91% of the year). Unlike steel furnaces, kilns rarely stop because restarting takes days.</t>
  </si>
  <si>
    <t xml:space="preserve">hours/year</t>
  </si>
  <si>
    <t xml:space="preserve">Cembureau industry average. Kilns designed for near-continuous operation.</t>
  </si>
  <si>
    <t xml:space="preserve">&gt;&gt;&gt; Clinker Produced per Year</t>
  </si>
  <si>
    <t xml:space="preserve">Cement output × clinker ratio = how much clinker the kiln must produce</t>
  </si>
  <si>
    <t xml:space="preserve">tonnes clinker/year</t>
  </si>
  <si>
    <t xml:space="preserve">CALCULATED</t>
  </si>
  <si>
    <t xml:space="preserve">&gt;&gt;&gt; Total Heat Demand</t>
  </si>
  <si>
    <t xml:space="preserve">Clinker produced × 3.5 GJ/tonne = total heat the kiln must generate every year</t>
  </si>
  <si>
    <t xml:space="preserve">GJ/year</t>
  </si>
  <si>
    <t xml:space="preserve">STEP 2:  THE CEMENT CO2 PROBLEM   —   Why cement is harder to decarbonise than steel — this is the key insight</t>
  </si>
  <si>
    <t xml:space="preserve">⚠️  CRITICAL DIFFERENCE FROM STEEL:  In steel, ALL CO2 comes from burning fuel. Switch to electric → CO2 gone.
In cement, 60% of CO2 comes from CALCINATION — a chemical reaction inside the limestone itself. This CO2 is released regardless of whether you use gas or electricity.
HyperHeat can only eliminate the remaining 40% (fuel combustion CO2). This is still HUGE — but you must be honest about it.</t>
  </si>
  <si>
    <t xml:space="preserve">Process CO2 (Calcination)</t>
  </si>
  <si>
    <t xml:space="preserve">When limestone (CaCO3) is heated, it chemically releases CO2 and becomes lime (CaO). This is basic chemistry — it happens regardless of heat source. You CANNOT avoid this CO2 without CCS (carbon capture). ~0.53 tonnes per tonne of cement.</t>
  </si>
  <si>
    <t xml:space="preserve">tonnes CO2 per tonne cement</t>
  </si>
  <si>
    <t xml:space="preserve">IPCC AR6 / GHG Protocol. Fixed chemistry: CaCO3 → CaO + CO2. Unavoidable.</t>
  </si>
  <si>
    <t xml:space="preserve">Fuel CO2 (what electric CAN eliminate)</t>
  </si>
  <si>
    <t xml:space="preserve">The other 40% of CO2 comes from burning gas/coal to create heat. THIS is what HyperHeat replaces. Electric produces zero combustion CO2. Per tonne of cement: ~0.12 tonnes from fuel.</t>
  </si>
  <si>
    <t xml:space="preserve">tonnes CO2 per tonne cement (fuel only)</t>
  </si>
  <si>
    <t xml:space="preserve">S&amp;P Global / IEA Cement 2024. Total ~0.65 t CO2/t cement minus calcination ~0.53 = ~0.12 from fuel.</t>
  </si>
  <si>
    <t xml:space="preserve">&gt;&gt;&gt; Total Plant Fuel CO2 (Gas scenario)</t>
  </si>
  <si>
    <t xml:space="preserve">Cement output × fuel CO2 per tonne = total CO2 from fuel burning that electric can eliminate</t>
  </si>
  <si>
    <t xml:space="preserve">tonnes CO2/year from fuel</t>
  </si>
  <si>
    <t xml:space="preserve">STEP 3:  EFFICIENCY   —   Gas kiln vs Electric kiln — who wastes less energy?</t>
  </si>
  <si>
    <t xml:space="preserve">ANALOGY: A cement kiln is like a giant pizza oven that never switches off. Gas kilns lose ~45% of heat through exhaust gases and kiln shell. Electric kilns lose only ~10%. So electric needs less energy input for the same heat output.</t>
  </si>
  <si>
    <t xml:space="preserve">Gas Kiln Efficiency</t>
  </si>
  <si>
    <t xml:space="preserve">Out of every 100 units of gas energy, only 55 units actually heat the limestone. The other 45 units escape as hot exhaust gases from the chimney. Cement kilns are slightly less efficient than steel furnaces because they are longer.</t>
  </si>
  <si>
    <t xml:space="preserve">55% efficient</t>
  </si>
  <si>
    <t xml:space="preserve">IEA / Cembureau benchmark for modern dry kiln. ~40-45% heat lost in flue gases + kiln shell.</t>
  </si>
  <si>
    <t xml:space="preserve">HyperHeat Electric Efficiency</t>
  </si>
  <si>
    <t xml:space="preserve">Out of every 100 units of electricity, 90 units heat the limestone. Only 10 units are lost. Slightly lower than steel (95%) because cement kilns are larger and harder to seal perfectly.</t>
  </si>
  <si>
    <t xml:space="preserve">90% efficient</t>
  </si>
  <si>
    <t xml:space="preserve">HyperHeat spec for large rotary kiln application. Conservative vs 95% for steel furnaces.</t>
  </si>
  <si>
    <t xml:space="preserve">&gt;&gt;&gt; Gas Energy Input Needed</t>
  </si>
  <si>
    <t xml:space="preserve">Total heat demand (C10 GJ × 277.78 to convert to kWh) ÷ gas efficiency = how much gas to buy</t>
  </si>
  <si>
    <t xml:space="preserve">kWh/year</t>
  </si>
  <si>
    <t xml:space="preserve">&gt;&gt;&gt; Electric Energy Input Needed</t>
  </si>
  <si>
    <t xml:space="preserve">Same heat demand ÷ electric efficiency = how much electricity to buy. Less than gas!</t>
  </si>
  <si>
    <t xml:space="preserve">STEP 4:  ENERGY PRICES (2025 REAL DATA)   —   What does gas and electricity actually cost for a large industrial plant in Europe?</t>
  </si>
  <si>
    <t xml:space="preserve">★ Gas Price (Industrial 2025)</t>
  </si>
  <si>
    <t xml:space="preserve">European industrial gas price in 2025. TTF wholesale was ~€35/MWh in H1 2025. With retail markup, large industrial plants pay ~€45/MWh = €0.045/kWh.</t>
  </si>
  <si>
    <t xml:space="preserve">EUR/kWh</t>
  </si>
  <si>
    <t xml:space="preserve">Eurostat + Dutch TTF gas market H1 2025. ec.europa.eu/eurostat</t>
  </si>
  <si>
    <t xml:space="preserve">★ Electricity Price (Industrial 2025)</t>
  </si>
  <si>
    <t xml:space="preserve">Large industrial electricity in 2025. EU average non-household = €0.19/kWh. But cement plants use 100+ GWh/year — biggest users get ~€0.12/kWh. This is the PROBLEM for electrification.</t>
  </si>
  <si>
    <t xml:space="preserve">Eurostat Electricity Price Statistics H1 2025. Large industrial users. ec.europa.eu/eurostat</t>
  </si>
  <si>
    <t xml:space="preserve">&gt;&gt;&gt; Annual Gas Fuel Bill</t>
  </si>
  <si>
    <t xml:space="preserve">Gas energy needed (C22) × gas price (C26) = what the plant pays for gas every year</t>
  </si>
  <si>
    <t xml:space="preserve">EUR/year</t>
  </si>
  <si>
    <t xml:space="preserve">&gt;&gt;&gt; Annual Electricity Bill</t>
  </si>
  <si>
    <t xml:space="preserve">Electric energy needed (C23) × electricity price (C27) = what the plant pays for electricity</t>
  </si>
  <si>
    <t xml:space="preserve">STEP 5:  CARBON COSTS   —   EU ETS — how much does each scenario pay in carbon fines?</t>
  </si>
  <si>
    <t xml:space="preserve">IMPORTANT: In cement, the EU ETS fine applies to ALL CO2 — both calcination AND fuel CO2.
Gas scenario: pays fine on calcination CO2 + fuel CO2.
Electric scenario: still pays fine on calcination CO2 (unavoidable) BUT saves on fuel CO2 fine.
This is why cement electrification saves SOME carbon cost but not all of it.</t>
  </si>
  <si>
    <t xml:space="preserve">★ EU ETS Carbon Price (2025)</t>
  </si>
  <si>
    <t xml:space="preserve">EU charges €70 per tonne of CO2 emitted in 2025. This applies to all cement plants covered by EU ETS. Free allowances are being phased out — by 2034, cement pays full price on all emissions.</t>
  </si>
  <si>
    <t xml:space="preserve">EUR/tonne CO2</t>
  </si>
  <si>
    <t xml:space="preserve">ICE EU ETS market 2025. Range EUR60-83. Peak Dec 2025: EUR83.79. tradingeconomics.com</t>
  </si>
  <si>
    <t xml:space="preserve">Gas Combustion CO2 Factor</t>
  </si>
  <si>
    <t xml:space="preserve">Every kWh of natural gas burned releases 0.202 kg of CO2. Fixed chemistry — IPCC standard.</t>
  </si>
  <si>
    <t xml:space="preserve">kg CO2/kWh</t>
  </si>
  <si>
    <t xml:space="preserve">IPCC AR6 / GHG Protocol. ghgprotocol.org</t>
  </si>
  <si>
    <t xml:space="preserve">Grid Electricity CO2 Factor</t>
  </si>
  <si>
    <t xml:space="preserve">EU electricity grid in 2025 emits 0.095 kg CO2 per kWh. Much lower than gas because 52% of EU electricity is now from wind, solar, hydro, nuclear.</t>
  </si>
  <si>
    <t xml:space="preserve">European Environment Agency (EEA) 2025. Solar grew 20% in 2025. eea.europa.eu</t>
  </si>
  <si>
    <t xml:space="preserve">&gt;&gt;&gt; Gas Scenario: Fuel Combustion CO2</t>
  </si>
  <si>
    <t xml:space="preserve">Gas energy used (C22) × CO2 factor (C34) ÷ 1000 = tonnes of CO2 from burning gas</t>
  </si>
  <si>
    <t xml:space="preserve">&gt;&gt;&gt; Electric Scenario: Grid CO2</t>
  </si>
  <si>
    <t xml:space="preserve">Electric energy used (C23) × grid CO2 factor (C35) ÷ 1000 = much lower CO2</t>
  </si>
  <si>
    <t xml:space="preserve">tonnes CO2/year from electricity</t>
  </si>
  <si>
    <t xml:space="preserve">&gt;&gt;&gt; Gas Scenario: Total Carbon Fine (fuel only)</t>
  </si>
  <si>
    <t xml:space="preserve">Fuel CO2 tonnes (C36) × ETS price (C33). Note: calcination CO2 fine is same in both — so we compare only the fuel portion.</t>
  </si>
  <si>
    <t xml:space="preserve">EUR/year carbon fine on fuel CO2</t>
  </si>
  <si>
    <t xml:space="preserve">&gt;&gt;&gt; Electric Scenario: Grid Carbon Fine</t>
  </si>
  <si>
    <t xml:space="preserve">Grid CO2 (C37) × ETS price (C33). Much lower because electric is cleaner.</t>
  </si>
  <si>
    <t xml:space="preserve">EUR/year carbon fine on electricity CO2</t>
  </si>
  <si>
    <t xml:space="preserve">STEP 6:  INVESTMENT COST   —   How much does it cost to install HyperHeat in a cement kiln?</t>
  </si>
  <si>
    <t xml:space="preserve">HyperHeat CAPEX</t>
  </si>
  <si>
    <t xml:space="preserve">To install HyperHeat electric heating system, it costs €500 for every kW of capacity. This is a one-time investment — like buying new equipment for the factory.</t>
  </si>
  <si>
    <t xml:space="preserve">EUR/kW installed</t>
  </si>
  <si>
    <t xml:space="preserve">Deep-tech electrification industry benchmark. Range EUR300-700/kW.</t>
  </si>
  <si>
    <t xml:space="preserve">Maintenance Rate</t>
  </si>
  <si>
    <t xml:space="preserve">Every year, 2% of the equipment cost is spent on maintenance and spare parts. This is standard for industrial heating equipment worldwide.</t>
  </si>
  <si>
    <t xml:space="preserve">2% of CAPEX per year</t>
  </si>
  <si>
    <t xml:space="preserve">Industry standard O&amp;M rate for industrial electric heating systems.</t>
  </si>
  <si>
    <t xml:space="preserve">&gt;&gt;&gt; Electric Capacity Needed (MW)</t>
  </si>
  <si>
    <t xml:space="preserve">Gas kiln = 120 MW thermal. Electric needs less: 120 × (55% gas eff ÷ 90% elec eff) = 73.3 MW</t>
  </si>
  <si>
    <t xml:space="preserve">MW electric capacity</t>
  </si>
  <si>
    <t xml:space="preserve">&gt;&gt;&gt; Total CAPEX to Install HyperHeat</t>
  </si>
  <si>
    <t xml:space="preserve">Electric capacity (C44 MW) × 1000 (to kW) × €500/kW = total one-time installation cost</t>
  </si>
  <si>
    <t xml:space="preserve">EUR (one time)</t>
  </si>
  <si>
    <t xml:space="preserve">&gt;&gt;&gt; Annual Maintenance Cost</t>
  </si>
  <si>
    <t xml:space="preserve">CAPEX (C45) × 2% = yearly maintenance spend on HyperHeat system</t>
  </si>
  <si>
    <t xml:space="preserve">STEP 7:  FINAL SCORECARD   —   Add everything up — should the cement plant invest?</t>
  </si>
  <si>
    <t xml:space="preserve">We compare ONLY the costs that CHANGE between gas and electric. Calcination CO2 fine is the SAME in both — so it cancels out and we ignore it here. We focus on: energy cost + fuel CO2 fine + maintenance.</t>
  </si>
  <si>
    <t xml:space="preserve">COST ITEM</t>
  </si>
  <si>
    <t xml:space="preserve">GAS SCENARIO</t>
  </si>
  <si>
    <t xml:space="preserve">ELECTRIC SCENARIO</t>
  </si>
  <si>
    <t xml:space="preserve">SAVING (Gas minus Electric)</t>
  </si>
  <si>
    <t xml:space="preserve">WHAT THIS MEANS</t>
  </si>
  <si>
    <t xml:space="preserve">Energy Bill (EUR/yr)</t>
  </si>
  <si>
    <t xml:space="preserve">Electricity costs more/unit but needs less volume</t>
  </si>
  <si>
    <t xml:space="preserve">Carbon Fine — fuel CO2</t>
  </si>
  <si>
    <t xml:space="preserve">Gas emits more CO2 from combustion → bigger fine</t>
  </si>
  <si>
    <t xml:space="preserve">Maintenance (EUR/yr)</t>
  </si>
  <si>
    <t xml:space="preserve">Same maintenance rate — no saving here</t>
  </si>
  <si>
    <t xml:space="preserve">TOTAL ANNUAL DIFFERENCE</t>
  </si>
  <si>
    <t xml:space="preserve">Positive = electric cheaper. Negative = gas still cheaper</t>
  </si>
  <si>
    <t xml:space="preserve">★ SIMPLE PAYBACK PERIOD</t>
  </si>
  <si>
    <t xml:space="preserve">Total CAPEX ÷ Annual saving. Industry target = under 7 years. If saving is negative, investment not viable at current grid prices.</t>
  </si>
  <si>
    <t xml:space="preserve">years</t>
  </si>
  <si>
    <t xml:space="preserve">KEY METRIC — under 7 years = strong case</t>
  </si>
  <si>
    <t xml:space="preserve">STEP 8:  THE HONEST PICTURE   —   What does HyperHeat actually solve in cement — and what are the 3 levers to make it work?</t>
  </si>
  <si>
    <t xml:space="preserve">WHAT HYPERHEAT SOLVES IN CEMENT:
✅  Eliminates 40% of CO2 emissions (fuel combustion part) — saves on carbon fines
✅  Reduces energy waste (55% → 90% efficiency) — needs less energy input
✅  Enables green cement branding — buyers paying premium for low-carbon cement
❌  Cannot eliminate the other 60% CO2 (calcination chemistry) — needs CCS for that
WHY NOT VIABLE TODAY AT GRID PRICES:
Electricity (€0.12/kWh) is 2.7× more expensive than gas (€0.045/kWh). Even with better efficiency and lower carbon fines, the electricity bill is too high.
THE 3 LEVERS THAT FLIP THIS:
  Lever 1 → Renewable PPA deal: electricity drops to €0.07/kWh  (BNEF PPA tracker 2025)
  Lever 2 → ETS rises to €126/tonne by 2030  (BNEF/S&amp;P Global consensus)
  Lever 3 → Green cement premium: €40-80/tonne  (HeidelbergMaterials, Holcim already receiving)</t>
  </si>
  <si>
    <t xml:space="preserve">&gt;&gt;&gt; Annual Fuel CO2 Saved by Switching</t>
  </si>
  <si>
    <t xml:space="preserve">Gas combustion CO2 (C36) minus electric grid CO2 (C37) = tonnes avoided per year</t>
  </si>
  <si>
    <t xml:space="preserve">tonnes CO2 avoided/year</t>
  </si>
  <si>
    <t xml:space="preserve">&gt;&gt;&gt; What % of Total Plant CO2 Does This Represent?</t>
  </si>
  <si>
    <t xml:space="preserve">CO2 saved ÷ total CO2 per tonne × plant output. Total plant CO2 ≈ 0.65t/tonne cement.</t>
  </si>
  <si>
    <t xml:space="preserve">% of total plant emissions saved</t>
  </si>
  <si>
    <t xml:space="preserve">&gt;&gt;&gt; Lifetime CO2 Saved (15 years)</t>
  </si>
  <si>
    <t xml:space="preserve">Annual CO2 saving × 15 years = total lifetime environmental impact</t>
  </si>
  <si>
    <t xml:space="preserve">tonnes CO2 over project life</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</si>
</sst>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
  </numFmts>
  <fonts count="2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b val="true"/>
      <sz val="9"/>
      <color rgb="FFFFFFFF"/>
      <name val="Arial"/>
      <family val="0"/>
      <charset val="1"/>
    </font>
    <font>
      <b val="true"/>
      <sz val="11"/>
      <color rgb="FFFFFFFF"/>
      <name val="Arial"/>
      <family val="0"/>
      <charset val="1"/>
    </font>
    <font>
      <sz val="10"/>
      <name val="Arial"/>
      <family val="0"/>
      <charset val="1"/>
    </font>
    <font>
      <i val="true"/>
      <sz val="9"/>
      <color rgb="FF404040"/>
      <name val="Arial"/>
      <family val="0"/>
      <charset val="1"/>
    </font>
    <font>
      <b val="true"/>
      <sz val="11"/>
      <color rgb="FF000080"/>
      <name val="Arial"/>
      <family val="0"/>
      <charset val="1"/>
    </font>
    <font>
      <sz val="9"/>
      <color rgb="FF595959"/>
      <name val="Arial"/>
      <family val="0"/>
      <charset val="1"/>
    </font>
    <font>
      <i val="true"/>
      <sz val="9"/>
      <color rgb="FF2E75B6"/>
      <name val="Arial"/>
      <family val="0"/>
      <charset val="1"/>
    </font>
    <font>
      <b val="true"/>
      <sz val="10"/>
      <name val="Arial"/>
      <family val="0"/>
      <charset val="1"/>
    </font>
    <font>
      <b val="true"/>
      <sz val="12"/>
      <name val="Arial"/>
      <family val="0"/>
      <charset val="1"/>
    </font>
    <font>
      <b val="true"/>
      <sz val="9"/>
      <color rgb="FF375623"/>
      <name val="Arial"/>
      <family val="0"/>
      <charset val="1"/>
    </font>
    <font>
      <i val="true"/>
      <sz val="10"/>
      <color rgb="FF404040"/>
      <name val="Arial"/>
      <family val="0"/>
      <charset val="1"/>
    </font>
    <font>
      <b val="true"/>
      <sz val="10"/>
      <color rgb="FFFFFFFF"/>
      <name val="Arial"/>
      <family val="0"/>
      <charset val="1"/>
    </font>
    <font>
      <sz val="10"/>
      <color rgb="FF000000"/>
      <name val="Arial"/>
      <family val="0"/>
      <charset val="1"/>
    </font>
    <font>
      <i val="true"/>
      <sz val="10"/>
      <color rgb="FF595959"/>
      <name val="Arial"/>
      <family val="0"/>
      <charset val="1"/>
    </font>
    <font>
      <b val="true"/>
      <sz val="11"/>
      <color rgb="FF000000"/>
      <name val="Arial"/>
      <family val="0"/>
      <charset val="1"/>
    </font>
    <font>
      <i val="true"/>
      <sz val="11"/>
      <color rgb="FF595959"/>
      <name val="Arial"/>
      <family val="0"/>
      <charset val="1"/>
    </font>
    <font>
      <b val="true"/>
      <sz val="11"/>
      <name val="Arial"/>
      <family val="0"/>
      <charset val="1"/>
    </font>
    <font>
      <b val="true"/>
      <sz val="12"/>
      <color rgb="FF375623"/>
      <name val="Arial"/>
      <family val="0"/>
      <charset val="1"/>
    </font>
    <font>
      <b val="true"/>
      <sz val="9"/>
      <color rgb="FF2E75B6"/>
      <name val="Arial"/>
      <family val="0"/>
      <charset val="1"/>
    </font>
  </fonts>
  <fills count="14">
    <fill>
      <patternFill patternType="none"/>
    </fill>
    <fill>
      <patternFill patternType="gray125"/>
    </fill>
    <fill>
      <patternFill patternType="solid">
        <fgColor rgb="FF1F4E79"/>
        <bgColor rgb="FF003366"/>
      </patternFill>
    </fill>
    <fill>
      <patternFill patternType="solid">
        <fgColor rgb="FFF2F2F2"/>
        <bgColor rgb="FFE2EFDA"/>
      </patternFill>
    </fill>
    <fill>
      <patternFill patternType="solid">
        <fgColor rgb="FF404040"/>
        <bgColor rgb="FF375623"/>
      </patternFill>
    </fill>
    <fill>
      <patternFill patternType="solid">
        <fgColor rgb="FF2E75B6"/>
        <bgColor rgb="FF0066CC"/>
      </patternFill>
    </fill>
    <fill>
      <patternFill patternType="solid">
        <fgColor rgb="FFFFFFFF"/>
        <bgColor rgb="FFF2F2F2"/>
      </patternFill>
    </fill>
    <fill>
      <patternFill patternType="solid">
        <fgColor rgb="FFD9E1F2"/>
        <bgColor rgb="FFEAD7F7"/>
      </patternFill>
    </fill>
    <fill>
      <patternFill patternType="solid">
        <fgColor rgb="FFE2EFDA"/>
        <bgColor rgb="FFF2F2F2"/>
      </patternFill>
    </fill>
    <fill>
      <patternFill patternType="solid">
        <fgColor rgb="FFFCE9D8"/>
        <bgColor rgb="FFFCE4D6"/>
      </patternFill>
    </fill>
    <fill>
      <patternFill patternType="solid">
        <fgColor rgb="FFFCE4D6"/>
        <bgColor rgb="FFFCE9D8"/>
      </patternFill>
    </fill>
    <fill>
      <patternFill patternType="solid">
        <fgColor rgb="FFFFF2CC"/>
        <bgColor rgb="FFFCE9D8"/>
      </patternFill>
    </fill>
    <fill>
      <patternFill patternType="solid">
        <fgColor rgb="FF7030A0"/>
        <bgColor rgb="FF993366"/>
      </patternFill>
    </fill>
    <fill>
      <patternFill patternType="solid">
        <fgColor rgb="FFEAD7F7"/>
        <bgColor rgb="FFD9E1F2"/>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right"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5" fontId="14" fillId="8" borderId="1" xfId="0" applyFont="true" applyBorder="true" applyAlignment="true" applyProtection="false">
      <alignment horizontal="right"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6" fillId="9" borderId="0"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5" fontId="14" fillId="10" borderId="1" xfId="0" applyFont="true" applyBorder="true" applyAlignment="true" applyProtection="false">
      <alignment horizontal="right"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16" fillId="11" borderId="0"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right"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7" fontId="14" fillId="7" borderId="1" xfId="0" applyFont="true" applyBorder="true" applyAlignment="true" applyProtection="false">
      <alignment horizontal="right"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5" fontId="14" fillId="7" borderId="1" xfId="0" applyFont="true" applyBorder="true" applyAlignment="true" applyProtection="false">
      <alignment horizontal="right"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7" fillId="12"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left" vertical="center" textRotation="0" wrapText="true" indent="0" shrinkToFit="false"/>
      <protection locked="true" hidden="false"/>
    </xf>
    <xf numFmtId="168" fontId="18" fillId="10" borderId="1" xfId="0" applyFont="true" applyBorder="true" applyAlignment="true" applyProtection="false">
      <alignment horizontal="right" vertical="center" textRotation="0" wrapText="false" indent="0" shrinkToFit="false"/>
      <protection locked="true" hidden="false"/>
    </xf>
    <xf numFmtId="168" fontId="18" fillId="8" borderId="1" xfId="0" applyFont="true" applyBorder="true" applyAlignment="true" applyProtection="false">
      <alignment horizontal="right" vertical="center" textRotation="0" wrapText="false" indent="0" shrinkToFit="false"/>
      <protection locked="true" hidden="false"/>
    </xf>
    <xf numFmtId="168" fontId="18" fillId="13" borderId="1" xfId="0" applyFont="true" applyBorder="true" applyAlignment="true" applyProtection="false">
      <alignment horizontal="right" vertical="center" textRotation="0" wrapText="fals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20" fillId="7" borderId="1" xfId="0" applyFont="true" applyBorder="true" applyAlignment="true" applyProtection="false">
      <alignment horizontal="left" vertical="center" textRotation="0" wrapText="true" indent="0" shrinkToFit="false"/>
      <protection locked="true" hidden="false"/>
    </xf>
    <xf numFmtId="168" fontId="20" fillId="10" borderId="1" xfId="0" applyFont="true" applyBorder="true" applyAlignment="true" applyProtection="false">
      <alignment horizontal="right" vertical="center" textRotation="0" wrapText="false" indent="0" shrinkToFit="false"/>
      <protection locked="true" hidden="false"/>
    </xf>
    <xf numFmtId="168" fontId="20" fillId="8" borderId="1" xfId="0" applyFont="true" applyBorder="true" applyAlignment="true" applyProtection="false">
      <alignment horizontal="right" vertical="center" textRotation="0" wrapText="false" indent="0" shrinkToFit="false"/>
      <protection locked="true" hidden="false"/>
    </xf>
    <xf numFmtId="168" fontId="20" fillId="13" borderId="1" xfId="0" applyFont="true" applyBorder="true" applyAlignment="true" applyProtection="false">
      <alignment horizontal="right" vertical="center" textRotation="0" wrapText="false" indent="0" shrinkToFit="false"/>
      <protection locked="true" hidden="false"/>
    </xf>
    <xf numFmtId="164" fontId="21" fillId="6" borderId="1" xfId="0" applyFont="true" applyBorder="true" applyAlignment="true" applyProtection="false">
      <alignment horizontal="left" vertical="center" textRotation="0" wrapText="true" indent="0" shrinkToFit="false"/>
      <protection locked="true" hidden="false"/>
    </xf>
    <xf numFmtId="164" fontId="22" fillId="11"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7" fontId="23" fillId="8" borderId="1" xfId="0" applyFont="true" applyBorder="true" applyAlignment="true" applyProtection="false">
      <alignment horizontal="right" vertical="center" textRotation="0" wrapText="false" indent="0" shrinkToFit="false"/>
      <protection locked="true" hidden="false"/>
    </xf>
    <xf numFmtId="164" fontId="24" fillId="7" borderId="1"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7" fontId="14" fillId="8"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7030A0"/>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AD7F7"/>
      <rgbColor rgb="FFE2EFDA"/>
      <rgbColor rgb="FFFCE9D8"/>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75623"/>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4" min="3" style="0" width="16"/>
    <col collapsed="false" customWidth="true" hidden="false" outlineLevel="0" max="5" min="5" style="0" width="38"/>
  </cols>
  <sheetData>
    <row r="1" customFormat="false" ht="36" hidden="false" customHeight="true" outlineLevel="0" collapsed="false">
      <c r="A1" s="1" t="s">
        <v>0</v>
      </c>
      <c r="B1" s="1"/>
      <c r="C1" s="1"/>
      <c r="D1" s="1"/>
      <c r="E1" s="1"/>
    </row>
    <row r="2" customFormat="false" ht="18" hidden="false" customHeight="true" outlineLevel="0" collapsed="false">
      <c r="A2" s="2" t="s">
        <v>1</v>
      </c>
      <c r="B2" s="2"/>
      <c r="C2" s="2"/>
      <c r="D2" s="2"/>
      <c r="E2" s="2"/>
    </row>
    <row r="3" customFormat="false" ht="27.75" hidden="false" customHeight="true" outlineLevel="0" collapsed="false">
      <c r="A3" s="3" t="s">
        <v>2</v>
      </c>
      <c r="B3" s="3" t="s">
        <v>3</v>
      </c>
      <c r="C3" s="3" t="s">
        <v>4</v>
      </c>
      <c r="D3" s="3" t="s">
        <v>5</v>
      </c>
      <c r="E3" s="3" t="s">
        <v>6</v>
      </c>
    </row>
    <row r="4" customFormat="false" ht="36" hidden="false" customHeight="true" outlineLevel="0" collapsed="false">
      <c r="A4" s="4" t="s">
        <v>7</v>
      </c>
      <c r="B4" s="4"/>
      <c r="C4" s="4"/>
      <c r="D4" s="4"/>
      <c r="E4" s="4"/>
    </row>
    <row r="5" customFormat="false" ht="43.5" hidden="false" customHeight="true" outlineLevel="0" collapsed="false">
      <c r="A5" s="5" t="s">
        <v>8</v>
      </c>
      <c r="B5" s="6" t="s">
        <v>9</v>
      </c>
      <c r="C5" s="7" t="n">
        <v>1000000</v>
      </c>
      <c r="D5" s="8" t="s">
        <v>10</v>
      </c>
      <c r="E5" s="9" t="s">
        <v>11</v>
      </c>
    </row>
    <row r="6" customFormat="false" ht="43.5" hidden="false" customHeight="true" outlineLevel="0" collapsed="false">
      <c r="A6" s="5" t="s">
        <v>12</v>
      </c>
      <c r="B6" s="6" t="s">
        <v>13</v>
      </c>
      <c r="C6" s="7" t="n">
        <v>3.5</v>
      </c>
      <c r="D6" s="8" t="s">
        <v>14</v>
      </c>
      <c r="E6" s="9" t="s">
        <v>15</v>
      </c>
    </row>
    <row r="7" customFormat="false" ht="43.5" hidden="false" customHeight="true" outlineLevel="0" collapsed="false">
      <c r="A7" s="5" t="s">
        <v>16</v>
      </c>
      <c r="B7" s="6" t="s">
        <v>17</v>
      </c>
      <c r="C7" s="7" t="n">
        <v>0.75</v>
      </c>
      <c r="D7" s="8" t="s">
        <v>18</v>
      </c>
      <c r="E7" s="9" t="s">
        <v>19</v>
      </c>
    </row>
    <row r="8" customFormat="false" ht="43.5" hidden="false" customHeight="true" outlineLevel="0" collapsed="false">
      <c r="A8" s="5" t="s">
        <v>20</v>
      </c>
      <c r="B8" s="6" t="s">
        <v>21</v>
      </c>
      <c r="C8" s="7" t="n">
        <v>8000</v>
      </c>
      <c r="D8" s="8" t="s">
        <v>22</v>
      </c>
      <c r="E8" s="9" t="s">
        <v>23</v>
      </c>
    </row>
    <row r="9" customFormat="false" ht="36" hidden="false" customHeight="true" outlineLevel="0" collapsed="false">
      <c r="A9" s="10" t="s">
        <v>24</v>
      </c>
      <c r="B9" s="11" t="s">
        <v>25</v>
      </c>
      <c r="C9" s="12" t="n">
        <f aca="false">C5*C7</f>
        <v>750000</v>
      </c>
      <c r="D9" s="10" t="s">
        <v>26</v>
      </c>
      <c r="E9" s="13" t="s">
        <v>27</v>
      </c>
    </row>
    <row r="10" customFormat="false" ht="36" hidden="false" customHeight="true" outlineLevel="0" collapsed="false">
      <c r="A10" s="10" t="s">
        <v>28</v>
      </c>
      <c r="B10" s="11" t="s">
        <v>29</v>
      </c>
      <c r="C10" s="12" t="n">
        <f aca="false">C9*C6</f>
        <v>2625000</v>
      </c>
      <c r="D10" s="10" t="s">
        <v>30</v>
      </c>
      <c r="E10" s="13" t="s">
        <v>27</v>
      </c>
    </row>
    <row r="11" customFormat="false" ht="6" hidden="false" customHeight="true" outlineLevel="0" collapsed="false">
      <c r="A11" s="14"/>
      <c r="B11" s="14"/>
      <c r="C11" s="14"/>
      <c r="D11" s="14"/>
      <c r="E11" s="14"/>
    </row>
    <row r="12" customFormat="false" ht="36" hidden="false" customHeight="true" outlineLevel="0" collapsed="false">
      <c r="A12" s="4" t="s">
        <v>31</v>
      </c>
      <c r="B12" s="4"/>
      <c r="C12" s="4"/>
      <c r="D12" s="4"/>
      <c r="E12" s="4"/>
    </row>
    <row r="13" customFormat="false" ht="36" hidden="false" customHeight="true" outlineLevel="0" collapsed="false">
      <c r="A13" s="15" t="s">
        <v>32</v>
      </c>
      <c r="B13" s="15"/>
      <c r="C13" s="15"/>
      <c r="D13" s="15"/>
      <c r="E13" s="15"/>
    </row>
    <row r="14" customFormat="false" ht="43.5" hidden="false" customHeight="true" outlineLevel="0" collapsed="false">
      <c r="A14" s="5" t="s">
        <v>33</v>
      </c>
      <c r="B14" s="6" t="s">
        <v>34</v>
      </c>
      <c r="C14" s="7" t="n">
        <v>0.53</v>
      </c>
      <c r="D14" s="8" t="s">
        <v>35</v>
      </c>
      <c r="E14" s="9" t="s">
        <v>36</v>
      </c>
    </row>
    <row r="15" customFormat="false" ht="43.5" hidden="false" customHeight="true" outlineLevel="0" collapsed="false">
      <c r="A15" s="5" t="s">
        <v>37</v>
      </c>
      <c r="B15" s="6" t="s">
        <v>38</v>
      </c>
      <c r="C15" s="7" t="n">
        <v>0.12</v>
      </c>
      <c r="D15" s="8" t="s">
        <v>39</v>
      </c>
      <c r="E15" s="9" t="s">
        <v>40</v>
      </c>
    </row>
    <row r="16" customFormat="false" ht="36" hidden="false" customHeight="true" outlineLevel="0" collapsed="false">
      <c r="A16" s="16" t="s">
        <v>41</v>
      </c>
      <c r="B16" s="17" t="s">
        <v>42</v>
      </c>
      <c r="C16" s="18" t="n">
        <f aca="false">C5*C15</f>
        <v>120000</v>
      </c>
      <c r="D16" s="16" t="s">
        <v>43</v>
      </c>
      <c r="E16" s="19" t="s">
        <v>27</v>
      </c>
    </row>
    <row r="17" customFormat="false" ht="6" hidden="false" customHeight="true" outlineLevel="0" collapsed="false">
      <c r="A17" s="14"/>
      <c r="B17" s="14"/>
      <c r="C17" s="14"/>
      <c r="D17" s="14"/>
      <c r="E17" s="14"/>
    </row>
    <row r="18" customFormat="false" ht="36" hidden="false" customHeight="true" outlineLevel="0" collapsed="false">
      <c r="A18" s="4" t="s">
        <v>44</v>
      </c>
      <c r="B18" s="4"/>
      <c r="C18" s="4"/>
      <c r="D18" s="4"/>
      <c r="E18" s="4"/>
    </row>
    <row r="19" customFormat="false" ht="36" hidden="false" customHeight="true" outlineLevel="0" collapsed="false">
      <c r="A19" s="20" t="s">
        <v>45</v>
      </c>
      <c r="B19" s="20"/>
      <c r="C19" s="20"/>
      <c r="D19" s="20"/>
      <c r="E19" s="20"/>
    </row>
    <row r="20" customFormat="false" ht="43.5" hidden="false" customHeight="true" outlineLevel="0" collapsed="false">
      <c r="A20" s="5" t="s">
        <v>46</v>
      </c>
      <c r="B20" s="6" t="s">
        <v>47</v>
      </c>
      <c r="C20" s="21" t="n">
        <v>0.55</v>
      </c>
      <c r="D20" s="8" t="s">
        <v>48</v>
      </c>
      <c r="E20" s="9" t="s">
        <v>49</v>
      </c>
    </row>
    <row r="21" customFormat="false" ht="43.5" hidden="false" customHeight="true" outlineLevel="0" collapsed="false">
      <c r="A21" s="5" t="s">
        <v>50</v>
      </c>
      <c r="B21" s="6" t="s">
        <v>51</v>
      </c>
      <c r="C21" s="21" t="n">
        <v>0.9</v>
      </c>
      <c r="D21" s="8" t="s">
        <v>52</v>
      </c>
      <c r="E21" s="9" t="s">
        <v>53</v>
      </c>
    </row>
    <row r="22" customFormat="false" ht="36" hidden="false" customHeight="true" outlineLevel="0" collapsed="false">
      <c r="A22" s="16" t="s">
        <v>54</v>
      </c>
      <c r="B22" s="17" t="s">
        <v>55</v>
      </c>
      <c r="C22" s="18" t="n">
        <f aca="false">(C10*277.78)/C20</f>
        <v>1325768181.81818</v>
      </c>
      <c r="D22" s="16" t="s">
        <v>56</v>
      </c>
      <c r="E22" s="19" t="s">
        <v>27</v>
      </c>
    </row>
    <row r="23" customFormat="false" ht="36" hidden="false" customHeight="true" outlineLevel="0" collapsed="false">
      <c r="A23" s="10" t="s">
        <v>57</v>
      </c>
      <c r="B23" s="11" t="s">
        <v>58</v>
      </c>
      <c r="C23" s="12" t="n">
        <f aca="false">(C10*277.78)/C21</f>
        <v>810191666.666667</v>
      </c>
      <c r="D23" s="10" t="s">
        <v>56</v>
      </c>
      <c r="E23" s="13" t="s">
        <v>27</v>
      </c>
    </row>
    <row r="24" customFormat="false" ht="6" hidden="false" customHeight="true" outlineLevel="0" collapsed="false">
      <c r="A24" s="14"/>
      <c r="B24" s="14"/>
      <c r="C24" s="14"/>
      <c r="D24" s="14"/>
      <c r="E24" s="14"/>
    </row>
    <row r="25" customFormat="false" ht="36" hidden="false" customHeight="true" outlineLevel="0" collapsed="false">
      <c r="A25" s="4" t="s">
        <v>59</v>
      </c>
      <c r="B25" s="4"/>
      <c r="C25" s="4"/>
      <c r="D25" s="4"/>
      <c r="E25" s="4"/>
    </row>
    <row r="26" customFormat="false" ht="43.5" hidden="false" customHeight="true" outlineLevel="0" collapsed="false">
      <c r="A26" s="22" t="s">
        <v>60</v>
      </c>
      <c r="B26" s="6" t="s">
        <v>61</v>
      </c>
      <c r="C26" s="23" t="n">
        <v>0.045</v>
      </c>
      <c r="D26" s="8" t="s">
        <v>62</v>
      </c>
      <c r="E26" s="9" t="s">
        <v>63</v>
      </c>
    </row>
    <row r="27" customFormat="false" ht="43.5" hidden="false" customHeight="true" outlineLevel="0" collapsed="false">
      <c r="A27" s="22" t="s">
        <v>64</v>
      </c>
      <c r="B27" s="6" t="s">
        <v>65</v>
      </c>
      <c r="C27" s="23" t="n">
        <v>0.12</v>
      </c>
      <c r="D27" s="8" t="s">
        <v>62</v>
      </c>
      <c r="E27" s="9" t="s">
        <v>66</v>
      </c>
    </row>
    <row r="28" customFormat="false" ht="36" hidden="false" customHeight="true" outlineLevel="0" collapsed="false">
      <c r="A28" s="16" t="s">
        <v>67</v>
      </c>
      <c r="B28" s="17" t="s">
        <v>68</v>
      </c>
      <c r="C28" s="18" t="n">
        <f aca="false">C22*C26</f>
        <v>59659568.1818182</v>
      </c>
      <c r="D28" s="16" t="s">
        <v>69</v>
      </c>
      <c r="E28" s="19" t="s">
        <v>27</v>
      </c>
    </row>
    <row r="29" customFormat="false" ht="36" hidden="false" customHeight="true" outlineLevel="0" collapsed="false">
      <c r="A29" s="10" t="s">
        <v>70</v>
      </c>
      <c r="B29" s="11" t="s">
        <v>71</v>
      </c>
      <c r="C29" s="12" t="n">
        <f aca="false">C23*C27</f>
        <v>97223000</v>
      </c>
      <c r="D29" s="10" t="s">
        <v>69</v>
      </c>
      <c r="E29" s="13" t="s">
        <v>27</v>
      </c>
    </row>
    <row r="30" customFormat="false" ht="6" hidden="false" customHeight="true" outlineLevel="0" collapsed="false">
      <c r="A30" s="14"/>
      <c r="B30" s="14"/>
      <c r="C30" s="14"/>
      <c r="D30" s="14"/>
      <c r="E30" s="14"/>
    </row>
    <row r="31" customFormat="false" ht="36" hidden="false" customHeight="true" outlineLevel="0" collapsed="false">
      <c r="A31" s="4" t="s">
        <v>72</v>
      </c>
      <c r="B31" s="4"/>
      <c r="C31" s="4"/>
      <c r="D31" s="4"/>
      <c r="E31" s="4"/>
    </row>
    <row r="32" customFormat="false" ht="36" hidden="false" customHeight="true" outlineLevel="0" collapsed="false">
      <c r="A32" s="15" t="s">
        <v>73</v>
      </c>
      <c r="B32" s="15"/>
      <c r="C32" s="15"/>
      <c r="D32" s="15"/>
      <c r="E32" s="15"/>
    </row>
    <row r="33" customFormat="false" ht="43.5" hidden="false" customHeight="true" outlineLevel="0" collapsed="false">
      <c r="A33" s="22" t="s">
        <v>74</v>
      </c>
      <c r="B33" s="6" t="s">
        <v>75</v>
      </c>
      <c r="C33" s="23" t="n">
        <v>70</v>
      </c>
      <c r="D33" s="8" t="s">
        <v>76</v>
      </c>
      <c r="E33" s="9" t="s">
        <v>77</v>
      </c>
    </row>
    <row r="34" customFormat="false" ht="43.5" hidden="false" customHeight="true" outlineLevel="0" collapsed="false">
      <c r="A34" s="5" t="s">
        <v>78</v>
      </c>
      <c r="B34" s="6" t="s">
        <v>79</v>
      </c>
      <c r="C34" s="7" t="n">
        <v>0.202</v>
      </c>
      <c r="D34" s="8" t="s">
        <v>80</v>
      </c>
      <c r="E34" s="9" t="s">
        <v>81</v>
      </c>
    </row>
    <row r="35" customFormat="false" ht="43.5" hidden="false" customHeight="true" outlineLevel="0" collapsed="false">
      <c r="A35" s="5" t="s">
        <v>82</v>
      </c>
      <c r="B35" s="6" t="s">
        <v>83</v>
      </c>
      <c r="C35" s="7" t="n">
        <v>0.095</v>
      </c>
      <c r="D35" s="8" t="s">
        <v>80</v>
      </c>
      <c r="E35" s="9" t="s">
        <v>84</v>
      </c>
    </row>
    <row r="36" customFormat="false" ht="36" hidden="false" customHeight="true" outlineLevel="0" collapsed="false">
      <c r="A36" s="16" t="s">
        <v>85</v>
      </c>
      <c r="B36" s="17" t="s">
        <v>86</v>
      </c>
      <c r="C36" s="18" t="n">
        <f aca="false">C22*C34/1000</f>
        <v>267805.172727273</v>
      </c>
      <c r="D36" s="16" t="s">
        <v>43</v>
      </c>
      <c r="E36" s="19" t="s">
        <v>27</v>
      </c>
    </row>
    <row r="37" customFormat="false" ht="36" hidden="false" customHeight="true" outlineLevel="0" collapsed="false">
      <c r="A37" s="10" t="s">
        <v>87</v>
      </c>
      <c r="B37" s="11" t="s">
        <v>88</v>
      </c>
      <c r="C37" s="12" t="n">
        <f aca="false">C23*C35/1000</f>
        <v>76968.2083333333</v>
      </c>
      <c r="D37" s="10" t="s">
        <v>89</v>
      </c>
      <c r="E37" s="13" t="s">
        <v>27</v>
      </c>
    </row>
    <row r="38" customFormat="false" ht="36" hidden="false" customHeight="true" outlineLevel="0" collapsed="false">
      <c r="A38" s="16" t="s">
        <v>90</v>
      </c>
      <c r="B38" s="17" t="s">
        <v>91</v>
      </c>
      <c r="C38" s="18" t="n">
        <f aca="false">C36*C33</f>
        <v>18746362.0909091</v>
      </c>
      <c r="D38" s="16" t="s">
        <v>92</v>
      </c>
      <c r="E38" s="19" t="s">
        <v>27</v>
      </c>
    </row>
    <row r="39" customFormat="false" ht="36" hidden="false" customHeight="true" outlineLevel="0" collapsed="false">
      <c r="A39" s="10" t="s">
        <v>93</v>
      </c>
      <c r="B39" s="11" t="s">
        <v>94</v>
      </c>
      <c r="C39" s="12" t="n">
        <f aca="false">C37*C33</f>
        <v>5387774.58333333</v>
      </c>
      <c r="D39" s="10" t="s">
        <v>95</v>
      </c>
      <c r="E39" s="13" t="s">
        <v>27</v>
      </c>
    </row>
    <row r="40" customFormat="false" ht="6" hidden="false" customHeight="true" outlineLevel="0" collapsed="false">
      <c r="A40" s="14"/>
      <c r="B40" s="14"/>
      <c r="C40" s="14"/>
      <c r="D40" s="14"/>
      <c r="E40" s="14"/>
    </row>
    <row r="41" customFormat="false" ht="36" hidden="false" customHeight="true" outlineLevel="0" collapsed="false">
      <c r="A41" s="4" t="s">
        <v>96</v>
      </c>
      <c r="B41" s="4"/>
      <c r="C41" s="4"/>
      <c r="D41" s="4"/>
      <c r="E41" s="4"/>
    </row>
    <row r="42" customFormat="false" ht="43.5" hidden="false" customHeight="true" outlineLevel="0" collapsed="false">
      <c r="A42" s="5" t="s">
        <v>97</v>
      </c>
      <c r="B42" s="6" t="s">
        <v>98</v>
      </c>
      <c r="C42" s="7" t="n">
        <v>500</v>
      </c>
      <c r="D42" s="8" t="s">
        <v>99</v>
      </c>
      <c r="E42" s="9" t="s">
        <v>100</v>
      </c>
    </row>
    <row r="43" customFormat="false" ht="43.5" hidden="false" customHeight="true" outlineLevel="0" collapsed="false">
      <c r="A43" s="5" t="s">
        <v>101</v>
      </c>
      <c r="B43" s="6" t="s">
        <v>102</v>
      </c>
      <c r="C43" s="7" t="n">
        <v>0.02</v>
      </c>
      <c r="D43" s="8" t="s">
        <v>103</v>
      </c>
      <c r="E43" s="9" t="s">
        <v>104</v>
      </c>
    </row>
    <row r="44" customFormat="false" ht="36" hidden="false" customHeight="true" outlineLevel="0" collapsed="false">
      <c r="A44" s="24" t="s">
        <v>105</v>
      </c>
      <c r="B44" s="25" t="s">
        <v>106</v>
      </c>
      <c r="C44" s="26" t="n">
        <f aca="false">120*(C20/C21)</f>
        <v>73.3333333333333</v>
      </c>
      <c r="D44" s="24" t="s">
        <v>107</v>
      </c>
      <c r="E44" s="27" t="s">
        <v>27</v>
      </c>
    </row>
    <row r="45" customFormat="false" ht="36" hidden="false" customHeight="true" outlineLevel="0" collapsed="false">
      <c r="A45" s="24" t="s">
        <v>108</v>
      </c>
      <c r="B45" s="25" t="s">
        <v>109</v>
      </c>
      <c r="C45" s="28" t="n">
        <f aca="false">C44*1000*C42</f>
        <v>36666666.6666667</v>
      </c>
      <c r="D45" s="24" t="s">
        <v>110</v>
      </c>
      <c r="E45" s="27" t="s">
        <v>27</v>
      </c>
    </row>
    <row r="46" customFormat="false" ht="36" hidden="false" customHeight="true" outlineLevel="0" collapsed="false">
      <c r="A46" s="24" t="s">
        <v>111</v>
      </c>
      <c r="B46" s="25" t="s">
        <v>112</v>
      </c>
      <c r="C46" s="28" t="n">
        <f aca="false">C45*C43</f>
        <v>733333.333333334</v>
      </c>
      <c r="D46" s="24" t="s">
        <v>69</v>
      </c>
      <c r="E46" s="27" t="s">
        <v>27</v>
      </c>
    </row>
    <row r="47" customFormat="false" ht="6" hidden="false" customHeight="true" outlineLevel="0" collapsed="false">
      <c r="A47" s="14"/>
      <c r="B47" s="14"/>
      <c r="C47" s="14"/>
      <c r="D47" s="14"/>
      <c r="E47" s="14"/>
    </row>
    <row r="48" customFormat="false" ht="36" hidden="false" customHeight="true" outlineLevel="0" collapsed="false">
      <c r="A48" s="4" t="s">
        <v>113</v>
      </c>
      <c r="B48" s="4"/>
      <c r="C48" s="4"/>
      <c r="D48" s="4"/>
      <c r="E48" s="4"/>
    </row>
    <row r="49" customFormat="false" ht="36" hidden="false" customHeight="true" outlineLevel="0" collapsed="false">
      <c r="A49" s="20" t="s">
        <v>114</v>
      </c>
      <c r="B49" s="20"/>
      <c r="C49" s="20"/>
      <c r="D49" s="20"/>
      <c r="E49" s="20"/>
    </row>
    <row r="50" customFormat="false" ht="24" hidden="false" customHeight="true" outlineLevel="0" collapsed="false">
      <c r="A50" s="29" t="s">
        <v>115</v>
      </c>
      <c r="B50" s="30" t="s">
        <v>116</v>
      </c>
      <c r="C50" s="31" t="s">
        <v>117</v>
      </c>
      <c r="D50" s="32" t="s">
        <v>118</v>
      </c>
      <c r="E50" s="29" t="s">
        <v>119</v>
      </c>
    </row>
    <row r="51" customFormat="false" ht="27.75" hidden="false" customHeight="true" outlineLevel="0" collapsed="false">
      <c r="A51" s="33" t="s">
        <v>120</v>
      </c>
      <c r="B51" s="34" t="n">
        <f aca="false">C28</f>
        <v>59659568.1818182</v>
      </c>
      <c r="C51" s="35" t="n">
        <f aca="false">C29</f>
        <v>97223000</v>
      </c>
      <c r="D51" s="36" t="n">
        <f aca="false">B51-C51</f>
        <v>-37563431.8181818</v>
      </c>
      <c r="E51" s="37" t="s">
        <v>121</v>
      </c>
    </row>
    <row r="52" customFormat="false" ht="27.75" hidden="false" customHeight="true" outlineLevel="0" collapsed="false">
      <c r="A52" s="33" t="s">
        <v>122</v>
      </c>
      <c r="B52" s="34" t="n">
        <f aca="false">C38</f>
        <v>18746362.0909091</v>
      </c>
      <c r="C52" s="35" t="n">
        <f aca="false">C39</f>
        <v>5387774.58333333</v>
      </c>
      <c r="D52" s="36" t="n">
        <f aca="false">B52-C52</f>
        <v>13358587.5075758</v>
      </c>
      <c r="E52" s="37" t="s">
        <v>123</v>
      </c>
    </row>
    <row r="53" customFormat="false" ht="27.75" hidden="false" customHeight="true" outlineLevel="0" collapsed="false">
      <c r="A53" s="33" t="s">
        <v>124</v>
      </c>
      <c r="B53" s="34" t="n">
        <f aca="false">C46</f>
        <v>733333.333333334</v>
      </c>
      <c r="C53" s="35" t="n">
        <f aca="false">C46</f>
        <v>733333.333333334</v>
      </c>
      <c r="D53" s="36" t="n">
        <f aca="false">B53-C53</f>
        <v>0</v>
      </c>
      <c r="E53" s="37" t="s">
        <v>125</v>
      </c>
    </row>
    <row r="54" customFormat="false" ht="27.75" hidden="false" customHeight="true" outlineLevel="0" collapsed="false">
      <c r="A54" s="38" t="s">
        <v>126</v>
      </c>
      <c r="B54" s="39" t="n">
        <f aca="false">SUM(B51:B53)</f>
        <v>79139263.6060606</v>
      </c>
      <c r="C54" s="40" t="n">
        <f aca="false">SUM(C51:C53)</f>
        <v>103344107.916667</v>
      </c>
      <c r="D54" s="41" t="n">
        <f aca="false">B54-C54</f>
        <v>-24204844.310606</v>
      </c>
      <c r="E54" s="42" t="s">
        <v>127</v>
      </c>
    </row>
    <row r="55" customFormat="false" ht="6" hidden="false" customHeight="true" outlineLevel="0" collapsed="false">
      <c r="A55" s="14"/>
      <c r="B55" s="14"/>
      <c r="C55" s="14"/>
      <c r="D55" s="14"/>
      <c r="E55" s="14"/>
    </row>
    <row r="56" customFormat="false" ht="43.5" hidden="false" customHeight="true" outlineLevel="0" collapsed="false">
      <c r="A56" s="43" t="s">
        <v>128</v>
      </c>
      <c r="B56" s="44" t="s">
        <v>129</v>
      </c>
      <c r="C56" s="45" t="n">
        <f aca="false">IF(B54&gt;0,C45/B54,"❌ Not viable at current grid prices")</f>
        <v>0.463318269540465</v>
      </c>
      <c r="D56" s="22" t="s">
        <v>130</v>
      </c>
      <c r="E56" s="46" t="s">
        <v>131</v>
      </c>
    </row>
    <row r="57" customFormat="false" ht="6" hidden="false" customHeight="true" outlineLevel="0" collapsed="false">
      <c r="A57" s="14"/>
      <c r="B57" s="14"/>
      <c r="C57" s="14"/>
      <c r="D57" s="14"/>
      <c r="E57" s="14"/>
    </row>
    <row r="58" customFormat="false" ht="36" hidden="false" customHeight="true" outlineLevel="0" collapsed="false">
      <c r="A58" s="4" t="s">
        <v>132</v>
      </c>
      <c r="B58" s="4"/>
      <c r="C58" s="4"/>
      <c r="D58" s="4"/>
      <c r="E58" s="4"/>
    </row>
    <row r="59" customFormat="false" ht="109.5" hidden="false" customHeight="true" outlineLevel="0" collapsed="false">
      <c r="A59" s="47" t="s">
        <v>133</v>
      </c>
      <c r="B59" s="47"/>
      <c r="C59" s="47"/>
      <c r="D59" s="47"/>
      <c r="E59" s="47"/>
    </row>
    <row r="60" customFormat="false" ht="36" hidden="false" customHeight="true" outlineLevel="0" collapsed="false">
      <c r="A60" s="10" t="s">
        <v>134</v>
      </c>
      <c r="B60" s="11" t="s">
        <v>135</v>
      </c>
      <c r="C60" s="12" t="n">
        <f aca="false">C36-C37</f>
        <v>190836.964393939</v>
      </c>
      <c r="D60" s="10" t="s">
        <v>136</v>
      </c>
      <c r="E60" s="13" t="s">
        <v>27</v>
      </c>
    </row>
    <row r="61" customFormat="false" ht="36" hidden="false" customHeight="true" outlineLevel="0" collapsed="false">
      <c r="A61" s="10" t="s">
        <v>137</v>
      </c>
      <c r="B61" s="11" t="s">
        <v>138</v>
      </c>
      <c r="C61" s="48" t="n">
        <f aca="false">C60/(C5*0.65)*100</f>
        <v>29.359532983683</v>
      </c>
      <c r="D61" s="10" t="s">
        <v>139</v>
      </c>
      <c r="E61" s="13" t="s">
        <v>27</v>
      </c>
    </row>
    <row r="62" customFormat="false" ht="36" hidden="false" customHeight="true" outlineLevel="0" collapsed="false">
      <c r="A62" s="10" t="s">
        <v>140</v>
      </c>
      <c r="B62" s="11" t="s">
        <v>141</v>
      </c>
      <c r="C62" s="12" t="n">
        <f aca="false">C60*15</f>
        <v>2862554.46590909</v>
      </c>
      <c r="D62" s="10" t="s">
        <v>142</v>
      </c>
      <c r="E62" s="13" t="s">
        <v>27</v>
      </c>
    </row>
  </sheetData>
  <mergeCells count="15">
    <mergeCell ref="A1:E1"/>
    <mergeCell ref="A2:E2"/>
    <mergeCell ref="A4:E4"/>
    <mergeCell ref="A12:E12"/>
    <mergeCell ref="A13:E13"/>
    <mergeCell ref="A18:E18"/>
    <mergeCell ref="A19:E19"/>
    <mergeCell ref="A25:E25"/>
    <mergeCell ref="A31:E31"/>
    <mergeCell ref="A32:E32"/>
    <mergeCell ref="A41:E41"/>
    <mergeCell ref="A48:E48"/>
    <mergeCell ref="A49:E49"/>
    <mergeCell ref="A58:E58"/>
    <mergeCell ref="A59:E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2026-03-11T10:16:24Z</dcterms:created>
  <dc:creator>openpyxl</dc:creator>
  <dc:description/>
  <dc:language>en-US</dc:language>
  <cp:lastModifiedBy/>
  <dcterms:modified xsi:type="dcterms:W3CDTF">2026-03-11T10:16:24Z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