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Sources" sheetId="1" state="visible" r:id="rId3"/>
    <sheet name="Assumptions" sheetId="2" state="visible" r:id="rId4"/>
    <sheet name="Annual Cost Analysis" sheetId="3" state="visible" r:id="rId5"/>
    <sheet name="Business Case 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<sst xmlns="http://schemas.openxmlformats.org/spreadsheetml/2006/main" count="236" uniqueCount="200">
  <si>
    <t xml:space="preserve">HyperHeat TEA Model — Data Sources &amp; Assumptions Log (2025)</t>
  </si>
  <si>
    <t xml:space="preserve">Every number in this model traces to a real 2025 source. Yellow = value used in model.</t>
  </si>
  <si>
    <t xml:space="preserve">#</t>
  </si>
  <si>
    <t xml:space="preserve">Parameter</t>
  </si>
  <si>
    <t xml:space="preserve">Value Used</t>
  </si>
  <si>
    <t xml:space="preserve">Unit</t>
  </si>
  <si>
    <t xml:space="preserve">Source</t>
  </si>
  <si>
    <t xml:space="preserve">Notes &amp; URL</t>
  </si>
  <si>
    <t xml:space="preserve">  PLANT PARAMETERS</t>
  </si>
  <si>
    <t xml:space="preserve">Annual Steel Production</t>
  </si>
  <si>
    <t xml:space="preserve">500,000</t>
  </si>
  <si>
    <t xml:space="preserve">tonnes/yr</t>
  </si>
  <si>
    <t xml:space="preserve">World Steel Assoc.</t>
  </si>
  <si>
    <t xml:space="preserve">Mid-size integrated plant. worldsteel.org/statistics</t>
  </si>
  <si>
    <t xml:space="preserve">Heat Demand per Tonne</t>
  </si>
  <si>
    <t xml:space="preserve">1.2</t>
  </si>
  <si>
    <t xml:space="preserve">GJ/tonne</t>
  </si>
  <si>
    <t xml:space="preserve">IEA Iron &amp; Steel 2023</t>
  </si>
  <si>
    <t xml:space="preserve">Reheating furnace benchmark. iea.org/reports/iron-and-steel</t>
  </si>
  <si>
    <t xml:space="preserve">Operating Hours/Year</t>
  </si>
  <si>
    <t xml:space="preserve">7,000</t>
  </si>
  <si>
    <t xml:space="preserve">hours/yr</t>
  </si>
  <si>
    <t xml:space="preserve">Industry average</t>
  </si>
  <si>
    <t xml:space="preserve">~80% utilisation. Standard EAF/BOF plants.</t>
  </si>
  <si>
    <t xml:space="preserve">Installed Gas Power</t>
  </si>
  <si>
    <t xml:space="preserve">120 MW</t>
  </si>
  <si>
    <t xml:space="preserve">MW</t>
  </si>
  <si>
    <t xml:space="preserve">Derived</t>
  </si>
  <si>
    <t xml:space="preserve">500k t x 1.2 GJ/t / 7000 hrs; scaled for peak load</t>
  </si>
  <si>
    <t xml:space="preserve">  EFFICIENCY</t>
  </si>
  <si>
    <t xml:space="preserve">Gas Burner Efficiency</t>
  </si>
  <si>
    <t xml:space="preserve">60%</t>
  </si>
  <si>
    <t xml:space="preserve">ratio</t>
  </si>
  <si>
    <t xml:space="preserve">IEA / Eurofer</t>
  </si>
  <si>
    <t xml:space="preserve">40% energy lost as flue gas. iea.org/reports/iron-and-steel</t>
  </si>
  <si>
    <t xml:space="preserve">HyperHeat Efficiency</t>
  </si>
  <si>
    <t xml:space="preserve">95%</t>
  </si>
  <si>
    <t xml:space="preserve">HyperHeat spec</t>
  </si>
  <si>
    <t xml:space="preserve">Resistance heating. Heat goes directly into material.</t>
  </si>
  <si>
    <t xml:space="preserve">  ENERGY PRICES (2025 ACTUALS)</t>
  </si>
  <si>
    <t xml:space="preserve">Industrial Gas Price</t>
  </si>
  <si>
    <t xml:space="preserve">0.045 EUR/kWh</t>
  </si>
  <si>
    <t xml:space="preserve">EUR/kWh</t>
  </si>
  <si>
    <t xml:space="preserve">Eurostat + TTF H1 2025</t>
  </si>
  <si>
    <t xml:space="preserve">TTF wholesale ~35 EUR/MWh; industrial retail ~45 EUR/MWh. ec.europa.eu/eurostat</t>
  </si>
  <si>
    <t xml:space="preserve">Industrial Electricity</t>
  </si>
  <si>
    <t xml:space="preserve">0.120 EUR/kWh</t>
  </si>
  <si>
    <t xml:space="preserve">Eurostat H1 2025</t>
  </si>
  <si>
    <t xml:space="preserve">EU avg non-household 0.19 EUR/kWh; large plants (&gt;20GWh) ~0.12. eurostat</t>
  </si>
  <si>
    <t xml:space="preserve">Grid CO2 Intensity</t>
  </si>
  <si>
    <t xml:space="preserve">0.095 kg/kWh</t>
  </si>
  <si>
    <t xml:space="preserve">kg CO2/kWh</t>
  </si>
  <si>
    <t xml:space="preserve">EEA 2025</t>
  </si>
  <si>
    <t xml:space="preserve">EU grid cleaner in 2025 — solar up 20%. eea.europa.eu</t>
  </si>
  <si>
    <t xml:space="preserve">  CARBON PRICING (2025)</t>
  </si>
  <si>
    <t xml:space="preserve">EU ETS Price (2025 avg)</t>
  </si>
  <si>
    <t xml:space="preserve">70 EUR/tonne</t>
  </si>
  <si>
    <t xml:space="preserve">EUR/tonne</t>
  </si>
  <si>
    <t xml:space="preserve">ICE / EU ETS market</t>
  </si>
  <si>
    <t xml:space="preserve">2025 range EUR60-83. Dec 2025 peak EUR83.79. carboncredits.com</t>
  </si>
  <si>
    <t xml:space="preserve">ETS 2030 Consensus Fcst</t>
  </si>
  <si>
    <t xml:space="preserve">126 EUR/tonne</t>
  </si>
  <si>
    <t xml:space="preserve">BNEF / GMK Center / S&amp;P</t>
  </si>
  <si>
    <t xml:space="preserve">Median of BloombergNEF, S&amp;P, ABN Amro. gmk.center Dec 2025</t>
  </si>
  <si>
    <t xml:space="preserve">  CAPEX &amp; FINANCIAL</t>
  </si>
  <si>
    <t xml:space="preserve">HyperHeat CAPEX</t>
  </si>
  <si>
    <t xml:space="preserve">500 EUR/kW</t>
  </si>
  <si>
    <t xml:space="preserve">EUR/kW</t>
  </si>
  <si>
    <t xml:space="preserve">Deep-tech benchmark</t>
  </si>
  <si>
    <t xml:space="preserve">Range EUR300-700/kW for industrial electric heating</t>
  </si>
  <si>
    <t xml:space="preserve">Annual O&amp;M Rate</t>
  </si>
  <si>
    <t xml:space="preserve">2%</t>
  </si>
  <si>
    <t xml:space="preserve">% CAPEX</t>
  </si>
  <si>
    <t xml:space="preserve">Industry standard</t>
  </si>
  <si>
    <t xml:space="preserve">Standard for industrial heating equipment</t>
  </si>
  <si>
    <t xml:space="preserve">Decommissioning</t>
  </si>
  <si>
    <t xml:space="preserve">200,000 EUR</t>
  </si>
  <si>
    <t xml:space="preserve">EUR one-time</t>
  </si>
  <si>
    <t xml:space="preserve">Estimate</t>
  </si>
  <si>
    <t xml:space="preserve">Plant-specific — verify with operator</t>
  </si>
  <si>
    <t xml:space="preserve">WACC</t>
  </si>
  <si>
    <t xml:space="preserve">8%</t>
  </si>
  <si>
    <t xml:space="preserve">Industrial benchmark</t>
  </si>
  <si>
    <t xml:space="preserve">Typical EU industrial energy investment</t>
  </si>
  <si>
    <t xml:space="preserve">Project Lifetime</t>
  </si>
  <si>
    <t xml:space="preserve">15 years</t>
  </si>
  <si>
    <t xml:space="preserve">years</t>
  </si>
  <si>
    <t xml:space="preserve">HyperHeat design life</t>
  </si>
  <si>
    <t xml:space="preserve">Equipment often lasts 20+ yrs; conservative</t>
  </si>
  <si>
    <t xml:space="preserve">Energy Price Escalation</t>
  </si>
  <si>
    <t xml:space="preserve">2%/yr</t>
  </si>
  <si>
    <t xml:space="preserve">per year</t>
  </si>
  <si>
    <t xml:space="preserve">IEA long-term outlook</t>
  </si>
  <si>
    <t xml:space="preserve">Conservative; gas may rise faster</t>
  </si>
  <si>
    <t xml:space="preserve">  CO2 EMISSION FACTORS</t>
  </si>
  <si>
    <t xml:space="preserve">Natural Gas CO2 Factor</t>
  </si>
  <si>
    <t xml:space="preserve">0.202 kg/kWh</t>
  </si>
  <si>
    <t xml:space="preserve">IPCC AR6</t>
  </si>
  <si>
    <t xml:space="preserve">Default combustion factor. ghgprotocol.org</t>
  </si>
  <si>
    <t xml:space="preserve">HyperHeat TEA Model — Assumptions (2025 Actual Prices)</t>
  </si>
  <si>
    <t xml:space="preserve">BLUE = Hardcoded Input  |  BLACK = Formula  |  YELLOW+STAR = Key driver  |  Sources in 'Data Sources' sheet</t>
  </si>
  <si>
    <t xml:space="preserve">A.  Plant Parameters</t>
  </si>
  <si>
    <t xml:space="preserve">tonnes/year</t>
  </si>
  <si>
    <t xml:space="preserve">Data Sources #1 — World Steel Assoc.</t>
  </si>
  <si>
    <t xml:space="preserve">Data Sources #2 — IEA Iron &amp; Steel 2023</t>
  </si>
  <si>
    <t xml:space="preserve">Furnace Operating Hours/Year</t>
  </si>
  <si>
    <t xml:space="preserve">hours/year</t>
  </si>
  <si>
    <t xml:space="preserve">Data Sources #3 — Industry average 80% utilisation</t>
  </si>
  <si>
    <t xml:space="preserve">Installed Thermal Power (Gas)</t>
  </si>
  <si>
    <t xml:space="preserve">Data Sources #4 — Derived from heat demand</t>
  </si>
  <si>
    <t xml:space="preserve">B.  Efficiency Parameters</t>
  </si>
  <si>
    <t xml:space="preserve">STAR KEY — Data Sources #5 — IEA / Eurofer benchmark</t>
  </si>
  <si>
    <t xml:space="preserve">HyperHeat Electric Efficiency</t>
  </si>
  <si>
    <t xml:space="preserve">STAR KEY — Data Sources #6 — HyperHeat product spec</t>
  </si>
  <si>
    <t xml:space="preserve">Equiv. Electric Power (MW)</t>
  </si>
  <si>
    <t xml:space="preserve">Formula: Gas MW x (gas eff / elec eff)</t>
  </si>
  <si>
    <t xml:space="preserve">C.  Energy Prices — 2025 Actuals</t>
  </si>
  <si>
    <t xml:space="preserve">Natural Gas Price (Industrial)</t>
  </si>
  <si>
    <t xml:space="preserve">STAR KEY — Data Sources #7 — Eurostat + TTF H1 2025</t>
  </si>
  <si>
    <t xml:space="preserve">Electricity Price (Industrial)</t>
  </si>
  <si>
    <t xml:space="preserve">STAR KEY — Data Sources #8 — Eurostat H1 2025 large users</t>
  </si>
  <si>
    <t xml:space="preserve">Data Sources #9 — EEA 2025 grid mix</t>
  </si>
  <si>
    <t xml:space="preserve">D.  Carbon Pricing — 2025</t>
  </si>
  <si>
    <t xml:space="preserve">EU ETS Carbon Price (2025 avg)</t>
  </si>
  <si>
    <t xml:space="preserve">STAR KEY — Data Sources #10 — ICE EU ETS market 2025</t>
  </si>
  <si>
    <t xml:space="preserve">ETS Price 2030 (consensus fcst)</t>
  </si>
  <si>
    <t xml:space="preserve">Data Sources #11 — BNEF / GMK Center Dec 2025</t>
  </si>
  <si>
    <t xml:space="preserve">E.  CAPEX &amp; O&amp;M</t>
  </si>
  <si>
    <t xml:space="preserve">HyperHeat System CAPEX</t>
  </si>
  <si>
    <t xml:space="preserve">Data Sources #12 — Electrification benchmark</t>
  </si>
  <si>
    <t xml:space="preserve">Annual O&amp;M (% of CAPEX)</t>
  </si>
  <si>
    <t xml:space="preserve">Data Sources #13 — Industry standard 2%</t>
  </si>
  <si>
    <t xml:space="preserve">Decommissioning (old burners)</t>
  </si>
  <si>
    <t xml:space="preserve">EUR one-off</t>
  </si>
  <si>
    <t xml:space="preserve">Data Sources #14 — Estimate, plant-specific</t>
  </si>
  <si>
    <t xml:space="preserve">F.  Financial Parameters</t>
  </si>
  <si>
    <t xml:space="preserve">Discount Rate (WACC)</t>
  </si>
  <si>
    <t xml:space="preserve">Data Sources #15 — Industrial project benchmark</t>
  </si>
  <si>
    <t xml:space="preserve">Data Sources #16 — HyperHeat design life</t>
  </si>
  <si>
    <t xml:space="preserve">Annual Energy Price Escalation</t>
  </si>
  <si>
    <t xml:space="preserve">Data Sources #17 — IEA long-term outlook</t>
  </si>
  <si>
    <t xml:space="preserve">G.  CO2 Emission Factors</t>
  </si>
  <si>
    <t xml:space="preserve">Natural Gas CO2 Intensity</t>
  </si>
  <si>
    <t xml:space="preserve">Data Sources #18 — IPCC AR6 / GHG Protocol</t>
  </si>
  <si>
    <t xml:space="preserve">Annual Cost Comparison — Gas vs HyperHeat Electric (2025)</t>
  </si>
  <si>
    <t xml:space="preserve">Cost Item</t>
  </si>
  <si>
    <t xml:space="preserve">Gas Scenario (EUR/yr)</t>
  </si>
  <si>
    <t xml:space="preserve">Electric Scenario (EUR/yr)</t>
  </si>
  <si>
    <t xml:space="preserve">Annual Saving (EUR/yr)</t>
  </si>
  <si>
    <t xml:space="preserve">Notes</t>
  </si>
  <si>
    <t xml:space="preserve">Total Annual Heat Demand (GJ)</t>
  </si>
  <si>
    <t xml:space="preserve">Same useful heat. Both deliver identical output to furnace.</t>
  </si>
  <si>
    <t xml:space="preserve">Energy Input Required (kWh)</t>
  </si>
  <si>
    <t xml:space="preserve">Useful heat / efficiency. 1 GJ = 277.78 kWh. Gas needs ~59% more input.</t>
  </si>
  <si>
    <t xml:space="preserve">Annual Fuel / Energy Cost (EUR)</t>
  </si>
  <si>
    <t xml:space="preserve">kWh x price. Gas: 0.045 EUR/kWh (TTF 2025). Electricity: 0.12 EUR/kWh (Eurostat H1 2025).</t>
  </si>
  <si>
    <t xml:space="preserve">Annual CO2 Emissions (tonnes)</t>
  </si>
  <si>
    <t xml:space="preserve">kWh x CO2 factor / 1000. Gas: 0.202 kg/kWh (IPCC). Elec: 0.095 kg/kWh (EEA 2025).</t>
  </si>
  <si>
    <t xml:space="preserve">Annual Carbon Cost — EU ETS (EUR)</t>
  </si>
  <si>
    <t xml:space="preserve">CO2 tonnes x 70 EUR/t (ICE EU ETS 2025 avg). Forecast 126 EUR/t by 2030.</t>
  </si>
  <si>
    <t xml:space="preserve">Annual O&amp;M Cost (EUR)</t>
  </si>
  <si>
    <t xml:space="preserve">2% of CAPEX/year. Source: Data Sources #13.</t>
  </si>
  <si>
    <t xml:space="preserve">TOTAL ANNUAL COST (EUR)</t>
  </si>
  <si>
    <t xml:space="preserve">Energy + Carbon + O&amp;M. Key CFO decision metric.</t>
  </si>
  <si>
    <t xml:space="preserve">Business Case Summary — HyperHeat Investment Decision (2025)</t>
  </si>
  <si>
    <t xml:space="preserve">INVESTMENT — Upfront CAPEX</t>
  </si>
  <si>
    <t xml:space="preserve">EUR</t>
  </si>
  <si>
    <t xml:space="preserve">Electric MW x 1000 x EUR/kW. Source: Data Sources #12</t>
  </si>
  <si>
    <t xml:space="preserve">Decommissioning Old Burners</t>
  </si>
  <si>
    <t xml:space="preserve">One-time removal cost. Source: Data Sources #14</t>
  </si>
  <si>
    <t xml:space="preserve">TOTAL CAPEX</t>
  </si>
  <si>
    <t xml:space="preserve">Total upfront investment</t>
  </si>
  <si>
    <t xml:space="preserve">ANNUAL BENEFIT (Year 1 — 2025 prices)</t>
  </si>
  <si>
    <t xml:space="preserve">Annual Cost Saving vs Gas</t>
  </si>
  <si>
    <t xml:space="preserve">EUR/year</t>
  </si>
  <si>
    <t xml:space="preserve">Gas total minus Electric total. From Annual Cost Analysis sheet.</t>
  </si>
  <si>
    <t xml:space="preserve">Annual CO2 Reduction</t>
  </si>
  <si>
    <t xml:space="preserve">Emissions avoided annually. Sources: Data Sources #9, #18</t>
  </si>
  <si>
    <t xml:space="preserve">INVESTMENT METRICS</t>
  </si>
  <si>
    <t xml:space="preserve">Simple Payback Period</t>
  </si>
  <si>
    <t xml:space="preserve">CAPEX / Annual saving. Industry target: under 7 years.</t>
  </si>
  <si>
    <t xml:space="preserve">NPV — 15 Year Horizon</t>
  </si>
  <si>
    <t xml:space="preserve">Discounted future savings minus CAPEX. Positive = invest. WACC 8%, escalation 2%.</t>
  </si>
  <si>
    <t xml:space="preserve">Decision (at 2025 prices)</t>
  </si>
  <si>
    <t xml:space="preserve">Flip triggers: lower elec price OR higher ETS price</t>
  </si>
  <si>
    <t xml:space="preserve">SENSITIVITY — When does this flip?</t>
  </si>
  <si>
    <t xml:space="preserve">Break-even Electricity Price</t>
  </si>
  <si>
    <t xml:space="preserve">Max electricity price at which payback works. Achievable via renewable PPA.</t>
  </si>
  <si>
    <t xml:space="preserve">Break-even ETS Carbon Price</t>
  </si>
  <si>
    <t xml:space="preserve">Min carbon price for savings to cover CAPEX over 15 years.</t>
  </si>
  <si>
    <t xml:space="preserve">ETS 2030 Consensus Forecast</t>
  </si>
  <si>
    <t xml:space="preserve">Source: Data Sources #11. BNEF/S&amp;P median. If reached, economics flip significantly.</t>
  </si>
  <si>
    <t xml:space="preserve">ENVIRONMENTAL IMPACT</t>
  </si>
  <si>
    <t xml:space="preserve">Annual CO2 Saved</t>
  </si>
  <si>
    <t xml:space="preserve">Lifetime CO2 Saved</t>
  </si>
  <si>
    <t xml:space="preserve">tonnes</t>
  </si>
  <si>
    <t xml:space="preserve">Over 15-year project life</t>
  </si>
  <si>
    <t xml:space="preserve">Equiv. Cars off the Road</t>
  </si>
  <si>
    <t xml:space="preserve">cars/year</t>
  </si>
  <si>
    <t xml:space="preserve">Avg car ~1.2 t CO2/yr (10,000 km x 120g/km)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</si>
</sst>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#,##0;\(#,##0\);\-"/>
    <numFmt numFmtId="167" formatCode="@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9"/>
      <color rgb="FF2E75B6"/>
      <name val="Arial"/>
      <family val="0"/>
      <charset val="1"/>
    </font>
    <font>
      <i val="true"/>
      <sz val="9"/>
      <color rgb="FF40404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2E75B6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i val="true"/>
      <sz val="10"/>
      <color rgb="FF40404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  <fill>
      <patternFill patternType="solid">
        <fgColor rgb="FFDCE6F1"/>
        <bgColor rgb="FFE2EFDA"/>
      </patternFill>
    </fill>
    <fill>
      <patternFill patternType="solid">
        <fgColor rgb="FFFCE4D6"/>
        <bgColor rgb="FFF2F2F2"/>
      </patternFill>
    </fill>
    <fill>
      <patternFill patternType="solid">
        <fgColor rgb="FFE2EFDA"/>
        <bgColor rgb="FFDC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36"/>
    <col collapsed="false" customWidth="true" hidden="false" outlineLevel="0" max="6" min="6" style="0" width="4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8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customFormat="false" ht="18" hidden="false" customHeight="true" outlineLevel="0" collapsed="false">
      <c r="A4" s="4" t="s">
        <v>8</v>
      </c>
      <c r="B4" s="4"/>
      <c r="C4" s="4"/>
      <c r="D4" s="4"/>
      <c r="E4" s="4"/>
      <c r="F4" s="4"/>
    </row>
    <row r="5" customFormat="false" ht="27.75" hidden="false" customHeight="true" outlineLevel="0" collapsed="false">
      <c r="A5" s="5" t="n">
        <v>1</v>
      </c>
      <c r="B5" s="6" t="s">
        <v>9</v>
      </c>
      <c r="C5" s="7" t="s">
        <v>10</v>
      </c>
      <c r="D5" s="8" t="s">
        <v>11</v>
      </c>
      <c r="E5" s="9" t="s">
        <v>12</v>
      </c>
      <c r="F5" s="10" t="s">
        <v>13</v>
      </c>
    </row>
    <row r="6" customFormat="false" ht="27.75" hidden="false" customHeight="true" outlineLevel="0" collapsed="false">
      <c r="A6" s="5" t="n">
        <v>2</v>
      </c>
      <c r="B6" s="6" t="s">
        <v>14</v>
      </c>
      <c r="C6" s="7" t="s">
        <v>15</v>
      </c>
      <c r="D6" s="8" t="s">
        <v>16</v>
      </c>
      <c r="E6" s="9" t="s">
        <v>17</v>
      </c>
      <c r="F6" s="10" t="s">
        <v>18</v>
      </c>
    </row>
    <row r="7" customFormat="false" ht="27.75" hidden="false" customHeight="true" outlineLevel="0" collapsed="false">
      <c r="A7" s="5" t="n">
        <v>3</v>
      </c>
      <c r="B7" s="6" t="s">
        <v>19</v>
      </c>
      <c r="C7" s="7" t="s">
        <v>20</v>
      </c>
      <c r="D7" s="8" t="s">
        <v>21</v>
      </c>
      <c r="E7" s="9" t="s">
        <v>22</v>
      </c>
      <c r="F7" s="10" t="s">
        <v>23</v>
      </c>
    </row>
    <row r="8" customFormat="false" ht="27.75" hidden="false" customHeight="true" outlineLevel="0" collapsed="false">
      <c r="A8" s="5" t="n">
        <v>4</v>
      </c>
      <c r="B8" s="6" t="s">
        <v>24</v>
      </c>
      <c r="C8" s="7" t="s">
        <v>25</v>
      </c>
      <c r="D8" s="8" t="s">
        <v>26</v>
      </c>
      <c r="E8" s="9" t="s">
        <v>27</v>
      </c>
      <c r="F8" s="10" t="s">
        <v>28</v>
      </c>
    </row>
    <row r="9" customFormat="false" ht="18" hidden="false" customHeight="true" outlineLevel="0" collapsed="false">
      <c r="A9" s="4" t="s">
        <v>29</v>
      </c>
      <c r="B9" s="4"/>
      <c r="C9" s="4"/>
      <c r="D9" s="4"/>
      <c r="E9" s="4"/>
      <c r="F9" s="4"/>
    </row>
    <row r="10" customFormat="false" ht="27.75" hidden="false" customHeight="true" outlineLevel="0" collapsed="false">
      <c r="A10" s="5" t="n">
        <v>5</v>
      </c>
      <c r="B10" s="6" t="s">
        <v>30</v>
      </c>
      <c r="C10" s="7" t="s">
        <v>31</v>
      </c>
      <c r="D10" s="8" t="s">
        <v>32</v>
      </c>
      <c r="E10" s="9" t="s">
        <v>33</v>
      </c>
      <c r="F10" s="10" t="s">
        <v>34</v>
      </c>
    </row>
    <row r="11" customFormat="false" ht="27.75" hidden="false" customHeight="true" outlineLevel="0" collapsed="false">
      <c r="A11" s="5" t="n">
        <v>6</v>
      </c>
      <c r="B11" s="6" t="s">
        <v>35</v>
      </c>
      <c r="C11" s="7" t="s">
        <v>36</v>
      </c>
      <c r="D11" s="8" t="s">
        <v>32</v>
      </c>
      <c r="E11" s="9" t="s">
        <v>37</v>
      </c>
      <c r="F11" s="10" t="s">
        <v>38</v>
      </c>
    </row>
    <row r="12" customFormat="false" ht="18" hidden="false" customHeight="true" outlineLevel="0" collapsed="false">
      <c r="A12" s="4" t="s">
        <v>39</v>
      </c>
      <c r="B12" s="4"/>
      <c r="C12" s="4"/>
      <c r="D12" s="4"/>
      <c r="E12" s="4"/>
      <c r="F12" s="4"/>
    </row>
    <row r="13" customFormat="false" ht="27.75" hidden="false" customHeight="true" outlineLevel="0" collapsed="false">
      <c r="A13" s="5" t="n">
        <v>7</v>
      </c>
      <c r="B13" s="6" t="s">
        <v>40</v>
      </c>
      <c r="C13" s="7" t="s">
        <v>41</v>
      </c>
      <c r="D13" s="8" t="s">
        <v>42</v>
      </c>
      <c r="E13" s="9" t="s">
        <v>43</v>
      </c>
      <c r="F13" s="10" t="s">
        <v>44</v>
      </c>
    </row>
    <row r="14" customFormat="false" ht="27.75" hidden="false" customHeight="true" outlineLevel="0" collapsed="false">
      <c r="A14" s="5" t="n">
        <v>8</v>
      </c>
      <c r="B14" s="6" t="s">
        <v>45</v>
      </c>
      <c r="C14" s="7" t="s">
        <v>46</v>
      </c>
      <c r="D14" s="8" t="s">
        <v>42</v>
      </c>
      <c r="E14" s="9" t="s">
        <v>47</v>
      </c>
      <c r="F14" s="10" t="s">
        <v>48</v>
      </c>
    </row>
    <row r="15" customFormat="false" ht="27.75" hidden="false" customHeight="true" outlineLevel="0" collapsed="false">
      <c r="A15" s="5" t="n">
        <v>9</v>
      </c>
      <c r="B15" s="6" t="s">
        <v>49</v>
      </c>
      <c r="C15" s="7" t="s">
        <v>50</v>
      </c>
      <c r="D15" s="8" t="s">
        <v>51</v>
      </c>
      <c r="E15" s="9" t="s">
        <v>52</v>
      </c>
      <c r="F15" s="10" t="s">
        <v>53</v>
      </c>
    </row>
    <row r="16" customFormat="false" ht="18" hidden="false" customHeight="true" outlineLevel="0" collapsed="false">
      <c r="A16" s="4" t="s">
        <v>54</v>
      </c>
      <c r="B16" s="4"/>
      <c r="C16" s="4"/>
      <c r="D16" s="4"/>
      <c r="E16" s="4"/>
      <c r="F16" s="4"/>
    </row>
    <row r="17" customFormat="false" ht="27.75" hidden="false" customHeight="true" outlineLevel="0" collapsed="false">
      <c r="A17" s="5" t="n">
        <v>10</v>
      </c>
      <c r="B17" s="6" t="s">
        <v>55</v>
      </c>
      <c r="C17" s="7" t="s">
        <v>56</v>
      </c>
      <c r="D17" s="8" t="s">
        <v>57</v>
      </c>
      <c r="E17" s="9" t="s">
        <v>58</v>
      </c>
      <c r="F17" s="10" t="s">
        <v>59</v>
      </c>
    </row>
    <row r="18" customFormat="false" ht="27.75" hidden="false" customHeight="true" outlineLevel="0" collapsed="false">
      <c r="A18" s="5" t="n">
        <v>11</v>
      </c>
      <c r="B18" s="6" t="s">
        <v>60</v>
      </c>
      <c r="C18" s="7" t="s">
        <v>61</v>
      </c>
      <c r="D18" s="8" t="s">
        <v>57</v>
      </c>
      <c r="E18" s="9" t="s">
        <v>62</v>
      </c>
      <c r="F18" s="10" t="s">
        <v>63</v>
      </c>
    </row>
    <row r="19" customFormat="false" ht="18" hidden="false" customHeight="true" outlineLevel="0" collapsed="false">
      <c r="A19" s="4" t="s">
        <v>64</v>
      </c>
      <c r="B19" s="4"/>
      <c r="C19" s="4"/>
      <c r="D19" s="4"/>
      <c r="E19" s="4"/>
      <c r="F19" s="4"/>
    </row>
    <row r="20" customFormat="false" ht="27.75" hidden="false" customHeight="true" outlineLevel="0" collapsed="false">
      <c r="A20" s="5" t="n">
        <v>12</v>
      </c>
      <c r="B20" s="6" t="s">
        <v>65</v>
      </c>
      <c r="C20" s="7" t="s">
        <v>66</v>
      </c>
      <c r="D20" s="8" t="s">
        <v>67</v>
      </c>
      <c r="E20" s="9" t="s">
        <v>68</v>
      </c>
      <c r="F20" s="10" t="s">
        <v>69</v>
      </c>
    </row>
    <row r="21" customFormat="false" ht="27.75" hidden="false" customHeight="true" outlineLevel="0" collapsed="false">
      <c r="A21" s="5" t="n">
        <v>13</v>
      </c>
      <c r="B21" s="6" t="s">
        <v>70</v>
      </c>
      <c r="C21" s="7" t="s">
        <v>71</v>
      </c>
      <c r="D21" s="8" t="s">
        <v>72</v>
      </c>
      <c r="E21" s="9" t="s">
        <v>73</v>
      </c>
      <c r="F21" s="10" t="s">
        <v>74</v>
      </c>
    </row>
    <row r="22" customFormat="false" ht="27.75" hidden="false" customHeight="true" outlineLevel="0" collapsed="false">
      <c r="A22" s="5" t="n">
        <v>14</v>
      </c>
      <c r="B22" s="6" t="s">
        <v>75</v>
      </c>
      <c r="C22" s="7" t="s">
        <v>76</v>
      </c>
      <c r="D22" s="8" t="s">
        <v>77</v>
      </c>
      <c r="E22" s="9" t="s">
        <v>78</v>
      </c>
      <c r="F22" s="10" t="s">
        <v>79</v>
      </c>
    </row>
    <row r="23" customFormat="false" ht="27.75" hidden="false" customHeight="true" outlineLevel="0" collapsed="false">
      <c r="A23" s="5" t="n">
        <v>15</v>
      </c>
      <c r="B23" s="6" t="s">
        <v>80</v>
      </c>
      <c r="C23" s="7" t="s">
        <v>81</v>
      </c>
      <c r="D23" s="8" t="s">
        <v>32</v>
      </c>
      <c r="E23" s="9" t="s">
        <v>82</v>
      </c>
      <c r="F23" s="10" t="s">
        <v>83</v>
      </c>
    </row>
    <row r="24" customFormat="false" ht="27.75" hidden="false" customHeight="true" outlineLevel="0" collapsed="false">
      <c r="A24" s="5" t="n">
        <v>16</v>
      </c>
      <c r="B24" s="6" t="s">
        <v>84</v>
      </c>
      <c r="C24" s="7" t="s">
        <v>85</v>
      </c>
      <c r="D24" s="8" t="s">
        <v>86</v>
      </c>
      <c r="E24" s="9" t="s">
        <v>87</v>
      </c>
      <c r="F24" s="10" t="s">
        <v>88</v>
      </c>
    </row>
    <row r="25" customFormat="false" ht="27.75" hidden="false" customHeight="true" outlineLevel="0" collapsed="false">
      <c r="A25" s="5" t="n">
        <v>17</v>
      </c>
      <c r="B25" s="6" t="s">
        <v>89</v>
      </c>
      <c r="C25" s="7" t="s">
        <v>90</v>
      </c>
      <c r="D25" s="8" t="s">
        <v>91</v>
      </c>
      <c r="E25" s="9" t="s">
        <v>92</v>
      </c>
      <c r="F25" s="10" t="s">
        <v>93</v>
      </c>
    </row>
    <row r="26" customFormat="false" ht="18" hidden="false" customHeight="true" outlineLevel="0" collapsed="false">
      <c r="A26" s="4" t="s">
        <v>94</v>
      </c>
      <c r="B26" s="4"/>
      <c r="C26" s="4"/>
      <c r="D26" s="4"/>
      <c r="E26" s="4"/>
      <c r="F26" s="4"/>
    </row>
    <row r="27" customFormat="false" ht="27.75" hidden="false" customHeight="true" outlineLevel="0" collapsed="false">
      <c r="A27" s="5" t="n">
        <v>18</v>
      </c>
      <c r="B27" s="6" t="s">
        <v>95</v>
      </c>
      <c r="C27" s="7" t="s">
        <v>96</v>
      </c>
      <c r="D27" s="8" t="s">
        <v>51</v>
      </c>
      <c r="E27" s="9" t="s">
        <v>97</v>
      </c>
      <c r="F27" s="10" t="s">
        <v>98</v>
      </c>
    </row>
  </sheetData>
  <mergeCells count="8">
    <mergeCell ref="A1:F1"/>
    <mergeCell ref="A2:F2"/>
    <mergeCell ref="A4:F4"/>
    <mergeCell ref="A9:F9"/>
    <mergeCell ref="A12:F12"/>
    <mergeCell ref="A16:F16"/>
    <mergeCell ref="A19:F19"/>
    <mergeCell ref="A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44"/>
  </cols>
  <sheetData>
    <row r="1" customFormat="false" ht="27.75" hidden="false" customHeight="true" outlineLevel="0" collapsed="false">
      <c r="A1" s="1" t="s">
        <v>99</v>
      </c>
      <c r="B1" s="1"/>
      <c r="C1" s="1"/>
      <c r="D1" s="1"/>
    </row>
    <row r="2" customFormat="false" ht="13.5" hidden="false" customHeight="true" outlineLevel="0" collapsed="false">
      <c r="A2" s="2" t="s">
        <v>100</v>
      </c>
      <c r="B2" s="2"/>
      <c r="C2" s="2"/>
      <c r="D2" s="2"/>
    </row>
    <row r="3" customFormat="false" ht="18" hidden="false" customHeight="true" outlineLevel="0" collapsed="false">
      <c r="A3" s="4" t="s">
        <v>101</v>
      </c>
      <c r="B3" s="4"/>
      <c r="C3" s="4"/>
      <c r="D3" s="4"/>
    </row>
    <row r="4" customFormat="false" ht="15.75" hidden="false" customHeight="true" outlineLevel="0" collapsed="false">
      <c r="A4" s="11" t="s">
        <v>9</v>
      </c>
      <c r="B4" s="12" t="n">
        <v>500000</v>
      </c>
      <c r="C4" s="13" t="s">
        <v>102</v>
      </c>
      <c r="D4" s="14" t="s">
        <v>103</v>
      </c>
    </row>
    <row r="5" customFormat="false" ht="15.75" hidden="false" customHeight="true" outlineLevel="0" collapsed="false">
      <c r="A5" s="11" t="s">
        <v>14</v>
      </c>
      <c r="B5" s="12" t="n">
        <v>1.2</v>
      </c>
      <c r="C5" s="13" t="s">
        <v>16</v>
      </c>
      <c r="D5" s="14" t="s">
        <v>104</v>
      </c>
    </row>
    <row r="6" customFormat="false" ht="15.75" hidden="false" customHeight="true" outlineLevel="0" collapsed="false">
      <c r="A6" s="11" t="s">
        <v>105</v>
      </c>
      <c r="B6" s="12" t="n">
        <v>7000</v>
      </c>
      <c r="C6" s="13" t="s">
        <v>106</v>
      </c>
      <c r="D6" s="14" t="s">
        <v>107</v>
      </c>
    </row>
    <row r="7" customFormat="false" ht="15.75" hidden="false" customHeight="true" outlineLevel="0" collapsed="false">
      <c r="A7" s="11" t="s">
        <v>108</v>
      </c>
      <c r="B7" s="12" t="n">
        <v>120</v>
      </c>
      <c r="C7" s="13" t="s">
        <v>26</v>
      </c>
      <c r="D7" s="14" t="s">
        <v>109</v>
      </c>
    </row>
    <row r="8" customFormat="false" ht="18" hidden="false" customHeight="true" outlineLevel="0" collapsed="false">
      <c r="A8" s="4" t="s">
        <v>110</v>
      </c>
      <c r="B8" s="4"/>
      <c r="C8" s="4"/>
      <c r="D8" s="4"/>
    </row>
    <row r="9" customFormat="false" ht="15.75" hidden="false" customHeight="true" outlineLevel="0" collapsed="false">
      <c r="A9" s="15" t="s">
        <v>30</v>
      </c>
      <c r="B9" s="16" t="n">
        <v>0.6</v>
      </c>
      <c r="C9" s="13" t="s">
        <v>32</v>
      </c>
      <c r="D9" s="14" t="s">
        <v>111</v>
      </c>
    </row>
    <row r="10" customFormat="false" ht="15.75" hidden="false" customHeight="true" outlineLevel="0" collapsed="false">
      <c r="A10" s="15" t="s">
        <v>112</v>
      </c>
      <c r="B10" s="16" t="n">
        <v>0.95</v>
      </c>
      <c r="C10" s="13" t="s">
        <v>32</v>
      </c>
      <c r="D10" s="14" t="s">
        <v>113</v>
      </c>
    </row>
    <row r="11" customFormat="false" ht="15.75" hidden="false" customHeight="true" outlineLevel="0" collapsed="false">
      <c r="A11" s="11" t="s">
        <v>114</v>
      </c>
      <c r="B11" s="17" t="n">
        <f aca="false">B7*(B9/B10)</f>
        <v>75.7894736842105</v>
      </c>
      <c r="C11" s="13" t="s">
        <v>26</v>
      </c>
      <c r="D11" s="14" t="s">
        <v>115</v>
      </c>
    </row>
    <row r="12" customFormat="false" ht="18" hidden="false" customHeight="true" outlineLevel="0" collapsed="false">
      <c r="A12" s="4" t="s">
        <v>116</v>
      </c>
      <c r="B12" s="4"/>
      <c r="C12" s="4"/>
      <c r="D12" s="4"/>
    </row>
    <row r="13" customFormat="false" ht="15.75" hidden="false" customHeight="true" outlineLevel="0" collapsed="false">
      <c r="A13" s="15" t="s">
        <v>117</v>
      </c>
      <c r="B13" s="16" t="n">
        <v>0.045</v>
      </c>
      <c r="C13" s="13" t="s">
        <v>42</v>
      </c>
      <c r="D13" s="14" t="s">
        <v>118</v>
      </c>
    </row>
    <row r="14" customFormat="false" ht="15.75" hidden="false" customHeight="true" outlineLevel="0" collapsed="false">
      <c r="A14" s="15" t="s">
        <v>119</v>
      </c>
      <c r="B14" s="16" t="n">
        <v>0.12</v>
      </c>
      <c r="C14" s="13" t="s">
        <v>42</v>
      </c>
      <c r="D14" s="14" t="s">
        <v>120</v>
      </c>
    </row>
    <row r="15" customFormat="false" ht="15.75" hidden="false" customHeight="true" outlineLevel="0" collapsed="false">
      <c r="A15" s="11" t="s">
        <v>49</v>
      </c>
      <c r="B15" s="12" t="n">
        <v>0.095</v>
      </c>
      <c r="C15" s="13" t="s">
        <v>51</v>
      </c>
      <c r="D15" s="14" t="s">
        <v>121</v>
      </c>
    </row>
    <row r="16" customFormat="false" ht="18" hidden="false" customHeight="true" outlineLevel="0" collapsed="false">
      <c r="A16" s="4" t="s">
        <v>122</v>
      </c>
      <c r="B16" s="4"/>
      <c r="C16" s="4"/>
      <c r="D16" s="4"/>
    </row>
    <row r="17" customFormat="false" ht="15.75" hidden="false" customHeight="true" outlineLevel="0" collapsed="false">
      <c r="A17" s="15" t="s">
        <v>123</v>
      </c>
      <c r="B17" s="16" t="n">
        <v>70</v>
      </c>
      <c r="C17" s="13" t="s">
        <v>57</v>
      </c>
      <c r="D17" s="14" t="s">
        <v>124</v>
      </c>
    </row>
    <row r="18" customFormat="false" ht="15.75" hidden="false" customHeight="true" outlineLevel="0" collapsed="false">
      <c r="A18" s="11" t="s">
        <v>125</v>
      </c>
      <c r="B18" s="12" t="n">
        <v>126</v>
      </c>
      <c r="C18" s="13" t="s">
        <v>57</v>
      </c>
      <c r="D18" s="14" t="s">
        <v>126</v>
      </c>
    </row>
    <row r="19" customFormat="false" ht="18" hidden="false" customHeight="true" outlineLevel="0" collapsed="false">
      <c r="A19" s="4" t="s">
        <v>127</v>
      </c>
      <c r="B19" s="4"/>
      <c r="C19" s="4"/>
      <c r="D19" s="4"/>
    </row>
    <row r="20" customFormat="false" ht="15.75" hidden="false" customHeight="true" outlineLevel="0" collapsed="false">
      <c r="A20" s="11" t="s">
        <v>128</v>
      </c>
      <c r="B20" s="12" t="n">
        <v>500</v>
      </c>
      <c r="C20" s="13" t="s">
        <v>67</v>
      </c>
      <c r="D20" s="14" t="s">
        <v>129</v>
      </c>
    </row>
    <row r="21" customFormat="false" ht="15.75" hidden="false" customHeight="true" outlineLevel="0" collapsed="false">
      <c r="A21" s="11" t="s">
        <v>130</v>
      </c>
      <c r="B21" s="12" t="n">
        <v>0.02</v>
      </c>
      <c r="C21" s="13" t="s">
        <v>32</v>
      </c>
      <c r="D21" s="14" t="s">
        <v>131</v>
      </c>
    </row>
    <row r="22" customFormat="false" ht="15.75" hidden="false" customHeight="true" outlineLevel="0" collapsed="false">
      <c r="A22" s="11" t="s">
        <v>132</v>
      </c>
      <c r="B22" s="12" t="n">
        <v>200000</v>
      </c>
      <c r="C22" s="13" t="s">
        <v>133</v>
      </c>
      <c r="D22" s="14" t="s">
        <v>134</v>
      </c>
    </row>
    <row r="23" customFormat="false" ht="18" hidden="false" customHeight="true" outlineLevel="0" collapsed="false">
      <c r="A23" s="4" t="s">
        <v>135</v>
      </c>
      <c r="B23" s="4"/>
      <c r="C23" s="4"/>
      <c r="D23" s="4"/>
    </row>
    <row r="24" customFormat="false" ht="15.75" hidden="false" customHeight="true" outlineLevel="0" collapsed="false">
      <c r="A24" s="11" t="s">
        <v>136</v>
      </c>
      <c r="B24" s="12" t="n">
        <v>0.08</v>
      </c>
      <c r="C24" s="13" t="s">
        <v>32</v>
      </c>
      <c r="D24" s="14" t="s">
        <v>137</v>
      </c>
    </row>
    <row r="25" customFormat="false" ht="15.75" hidden="false" customHeight="true" outlineLevel="0" collapsed="false">
      <c r="A25" s="11" t="s">
        <v>84</v>
      </c>
      <c r="B25" s="12" t="n">
        <v>15</v>
      </c>
      <c r="C25" s="13" t="s">
        <v>86</v>
      </c>
      <c r="D25" s="14" t="s">
        <v>138</v>
      </c>
    </row>
    <row r="26" customFormat="false" ht="15.75" hidden="false" customHeight="true" outlineLevel="0" collapsed="false">
      <c r="A26" s="11" t="s">
        <v>139</v>
      </c>
      <c r="B26" s="12" t="n">
        <v>0.02</v>
      </c>
      <c r="C26" s="13" t="s">
        <v>32</v>
      </c>
      <c r="D26" s="14" t="s">
        <v>140</v>
      </c>
    </row>
    <row r="27" customFormat="false" ht="18" hidden="false" customHeight="true" outlineLevel="0" collapsed="false">
      <c r="A27" s="4" t="s">
        <v>141</v>
      </c>
      <c r="B27" s="4"/>
      <c r="C27" s="4"/>
      <c r="D27" s="4"/>
    </row>
    <row r="28" customFormat="false" ht="15.75" hidden="false" customHeight="true" outlineLevel="0" collapsed="false">
      <c r="A28" s="11" t="s">
        <v>142</v>
      </c>
      <c r="B28" s="12" t="n">
        <v>0.202</v>
      </c>
      <c r="C28" s="13" t="s">
        <v>51</v>
      </c>
      <c r="D28" s="14" t="s">
        <v>143</v>
      </c>
    </row>
  </sheetData>
  <mergeCells count="9">
    <mergeCell ref="A1:D1"/>
    <mergeCell ref="A2:D2"/>
    <mergeCell ref="A3:D3"/>
    <mergeCell ref="A8:D8"/>
    <mergeCell ref="A12:D12"/>
    <mergeCell ref="A16:D16"/>
    <mergeCell ref="A19:D19"/>
    <mergeCell ref="A23:D23"/>
    <mergeCell ref="A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22"/>
    <col collapsed="false" customWidth="true" hidden="false" outlineLevel="0" max="5" min="5" style="0" width="42"/>
  </cols>
  <sheetData>
    <row r="1" customFormat="false" ht="27.75" hidden="false" customHeight="true" outlineLevel="0" collapsed="false">
      <c r="A1" s="1" t="s">
        <v>144</v>
      </c>
      <c r="B1" s="1"/>
      <c r="C1" s="1"/>
      <c r="D1" s="1"/>
      <c r="E1" s="1"/>
    </row>
    <row r="2" customFormat="false" ht="18" hidden="false" customHeight="true" outlineLevel="0" collapsed="false">
      <c r="A2" s="3" t="s">
        <v>145</v>
      </c>
      <c r="B2" s="3" t="s">
        <v>146</v>
      </c>
      <c r="C2" s="3" t="s">
        <v>147</v>
      </c>
      <c r="D2" s="3" t="s">
        <v>148</v>
      </c>
      <c r="E2" s="3" t="s">
        <v>149</v>
      </c>
    </row>
    <row r="3" customFormat="false" ht="21.75" hidden="false" customHeight="true" outlineLevel="0" collapsed="false">
      <c r="A3" s="18" t="s">
        <v>150</v>
      </c>
      <c r="B3" s="19" t="n">
        <f aca="false">Assumptions!B4*Assumptions!B5</f>
        <v>600000</v>
      </c>
      <c r="C3" s="19" t="n">
        <f aca="false">Assumptions!B4*Assumptions!B5</f>
        <v>600000</v>
      </c>
      <c r="D3" s="19" t="n">
        <f aca="false">B3-C3</f>
        <v>0</v>
      </c>
      <c r="E3" s="20" t="s">
        <v>151</v>
      </c>
    </row>
    <row r="4" customFormat="false" ht="21.75" hidden="false" customHeight="true" outlineLevel="0" collapsed="false">
      <c r="A4" s="18" t="s">
        <v>152</v>
      </c>
      <c r="B4" s="19" t="n">
        <f aca="false">(B3*277.78)/Assumptions!B9</f>
        <v>277780000</v>
      </c>
      <c r="C4" s="19" t="n">
        <f aca="false">(C3*277.78)/Assumptions!B10</f>
        <v>175440000</v>
      </c>
      <c r="D4" s="19" t="n">
        <f aca="false">B4-C4</f>
        <v>102340000</v>
      </c>
      <c r="E4" s="20" t="s">
        <v>153</v>
      </c>
    </row>
    <row r="5" customFormat="false" ht="21.75" hidden="false" customHeight="true" outlineLevel="0" collapsed="false">
      <c r="A5" s="18" t="s">
        <v>154</v>
      </c>
      <c r="B5" s="19" t="n">
        <f aca="false">B4*Assumptions!B13</f>
        <v>12500100</v>
      </c>
      <c r="C5" s="19" t="n">
        <f aca="false">C4*Assumptions!B14</f>
        <v>21052800</v>
      </c>
      <c r="D5" s="19" t="n">
        <f aca="false">B5-C5</f>
        <v>-8552700</v>
      </c>
      <c r="E5" s="20" t="s">
        <v>155</v>
      </c>
    </row>
    <row r="6" customFormat="false" ht="21.75" hidden="false" customHeight="true" outlineLevel="0" collapsed="false">
      <c r="A6" s="18" t="s">
        <v>156</v>
      </c>
      <c r="B6" s="19" t="n">
        <f aca="false">B4*Assumptions!B28/1000</f>
        <v>56111.56</v>
      </c>
      <c r="C6" s="19" t="n">
        <f aca="false">C4*Assumptions!B15/1000</f>
        <v>16666.8</v>
      </c>
      <c r="D6" s="19" t="n">
        <f aca="false">B6-C6</f>
        <v>39444.76</v>
      </c>
      <c r="E6" s="20" t="s">
        <v>157</v>
      </c>
    </row>
    <row r="7" customFormat="false" ht="21.75" hidden="false" customHeight="true" outlineLevel="0" collapsed="false">
      <c r="A7" s="18" t="s">
        <v>158</v>
      </c>
      <c r="B7" s="19" t="n">
        <f aca="false">B6*Assumptions!B17</f>
        <v>3927809.2</v>
      </c>
      <c r="C7" s="19" t="n">
        <f aca="false">C6*Assumptions!B17</f>
        <v>1166676</v>
      </c>
      <c r="D7" s="19" t="n">
        <f aca="false">B7-C7</f>
        <v>2761133.2</v>
      </c>
      <c r="E7" s="20" t="s">
        <v>159</v>
      </c>
    </row>
    <row r="8" customFormat="false" ht="21.75" hidden="false" customHeight="true" outlineLevel="0" collapsed="false">
      <c r="A8" s="18" t="s">
        <v>160</v>
      </c>
      <c r="B8" s="19" t="n">
        <f aca="false">Assumptions!B7*1000*Assumptions!B20*Assumptions!B21</f>
        <v>1200000</v>
      </c>
      <c r="C8" s="19" t="n">
        <f aca="false">Assumptions!B11*1000*Assumptions!B20*Assumptions!B21</f>
        <v>757894.736842105</v>
      </c>
      <c r="D8" s="19" t="n">
        <f aca="false">B8-C8</f>
        <v>442105.263157895</v>
      </c>
      <c r="E8" s="20" t="s">
        <v>161</v>
      </c>
    </row>
    <row r="9" customFormat="false" ht="21.75" hidden="false" customHeight="true" outlineLevel="0" collapsed="false">
      <c r="A9" s="21" t="s">
        <v>162</v>
      </c>
      <c r="B9" s="22" t="n">
        <f aca="false">SUM(B5:B8)</f>
        <v>17684020.76</v>
      </c>
      <c r="C9" s="23" t="n">
        <f aca="false">SUM(C5:C8)</f>
        <v>22994037.5368421</v>
      </c>
      <c r="D9" s="24" t="n">
        <f aca="false">B9-C9</f>
        <v>-5310016.77684211</v>
      </c>
      <c r="E9" s="20" t="s">
        <v>163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44"/>
  </cols>
  <sheetData>
    <row r="1" customFormat="false" ht="27.75" hidden="false" customHeight="true" outlineLevel="0" collapsed="false">
      <c r="A1" s="1" t="s">
        <v>164</v>
      </c>
      <c r="B1" s="1"/>
      <c r="C1" s="1"/>
      <c r="D1" s="1"/>
    </row>
    <row r="2" customFormat="false" ht="18" hidden="false" customHeight="true" outlineLevel="0" collapsed="false">
      <c r="A2" s="4" t="s">
        <v>165</v>
      </c>
      <c r="B2" s="4"/>
      <c r="C2" s="4"/>
      <c r="D2" s="4"/>
    </row>
    <row r="3" customFormat="false" ht="19.5" hidden="false" customHeight="true" outlineLevel="0" collapsed="false">
      <c r="A3" s="18" t="s">
        <v>128</v>
      </c>
      <c r="B3" s="19" t="n">
        <f aca="false">Assumptions!B11*1000*Assumptions!B20</f>
        <v>37894736.8421053</v>
      </c>
      <c r="C3" s="25" t="s">
        <v>166</v>
      </c>
      <c r="D3" s="20" t="s">
        <v>167</v>
      </c>
    </row>
    <row r="4" customFormat="false" ht="19.5" hidden="false" customHeight="true" outlineLevel="0" collapsed="false">
      <c r="A4" s="18" t="s">
        <v>168</v>
      </c>
      <c r="B4" s="19" t="n">
        <f aca="false">Assumptions!B22</f>
        <v>200000</v>
      </c>
      <c r="C4" s="25" t="s">
        <v>166</v>
      </c>
      <c r="D4" s="20" t="s">
        <v>169</v>
      </c>
    </row>
    <row r="5" customFormat="false" ht="19.5" hidden="false" customHeight="true" outlineLevel="0" collapsed="false">
      <c r="A5" s="21" t="s">
        <v>170</v>
      </c>
      <c r="B5" s="26" t="n">
        <f aca="false">B3+B4</f>
        <v>38094736.8421053</v>
      </c>
      <c r="C5" s="27" t="s">
        <v>166</v>
      </c>
      <c r="D5" s="28" t="s">
        <v>171</v>
      </c>
    </row>
    <row r="6" customFormat="false" ht="18" hidden="false" customHeight="true" outlineLevel="0" collapsed="false">
      <c r="A6" s="4" t="s">
        <v>172</v>
      </c>
      <c r="B6" s="4"/>
      <c r="C6" s="4"/>
      <c r="D6" s="4"/>
    </row>
    <row r="7" customFormat="false" ht="19.5" hidden="false" customHeight="true" outlineLevel="0" collapsed="false">
      <c r="A7" s="18" t="s">
        <v>173</v>
      </c>
      <c r="B7" s="19" t="n">
        <f aca="false">'Annual Cost Analysis'!D9</f>
        <v>-5310016.77684211</v>
      </c>
      <c r="C7" s="25" t="s">
        <v>174</v>
      </c>
      <c r="D7" s="20" t="s">
        <v>175</v>
      </c>
    </row>
    <row r="8" customFormat="false" ht="19.5" hidden="false" customHeight="true" outlineLevel="0" collapsed="false">
      <c r="A8" s="18" t="s">
        <v>176</v>
      </c>
      <c r="B8" s="19" t="n">
        <f aca="false">'Annual Cost Analysis'!D6</f>
        <v>39444.76</v>
      </c>
      <c r="C8" s="25" t="s">
        <v>11</v>
      </c>
      <c r="D8" s="20" t="s">
        <v>177</v>
      </c>
    </row>
    <row r="9" customFormat="false" ht="18" hidden="false" customHeight="true" outlineLevel="0" collapsed="false">
      <c r="A9" s="4" t="s">
        <v>178</v>
      </c>
      <c r="B9" s="4"/>
      <c r="C9" s="4"/>
      <c r="D9" s="4"/>
    </row>
    <row r="10" customFormat="false" ht="19.5" hidden="false" customHeight="true" outlineLevel="0" collapsed="false">
      <c r="A10" s="29" t="s">
        <v>179</v>
      </c>
      <c r="B10" s="24" t="str">
        <f aca="false">IF(B7&gt;0,B5/B7,"Not viable at current prices")</f>
        <v>Not viable at current prices</v>
      </c>
      <c r="C10" s="27" t="s">
        <v>86</v>
      </c>
      <c r="D10" s="28" t="s">
        <v>180</v>
      </c>
    </row>
    <row r="11" customFormat="false" ht="19.5" hidden="false" customHeight="true" outlineLevel="0" collapsed="false">
      <c r="A11" s="30" t="s">
        <v>181</v>
      </c>
      <c r="B11" s="23" t="n">
        <f aca="false">-B5+(B7*(1+Assumptions!B26)^0)/(1+Assumptions!B24)^1+(B7*(1+Assumptions!B26)^1)/(1+Assumptions!B24)^2+(B7*(1+Assumptions!B26)^2)/(1+Assumptions!B24)^3+(B7*(1+Assumptions!B26)^3)/(1+Assumptions!B24)^4+(B7*(1+Assumptions!B26)^4)/(1+Assumptions!B24)^5+(B7*(1+Assumptions!B26)^5)/(1+Assumptions!B24)^6+(B7*(1+Assumptions!B26)^6)/(1+Assumptions!B24)^7+(B7*(1+Assumptions!B26)^7)/(1+Assumptions!B24)^8+(B7*(1+Assumptions!B26)^8)/(1+Assumptions!B24)^9+(B7*(1+Assumptions!B26)^9)/(1+Assumptions!B24)^10+(B7*(1+Assumptions!B26)^10)/(1+Assumptions!B24)^11+(B7*(1+Assumptions!B26)^11)/(1+Assumptions!B24)^12+(B7*(1+Assumptions!B26)^12)/(1+Assumptions!B24)^13+(B7*(1+Assumptions!B26)^13)/(1+Assumptions!B24)^14+(B7*(1+Assumptions!B26)^14)/(1+Assumptions!B24)^15</f>
        <v>-89046663.9007105</v>
      </c>
      <c r="C11" s="27" t="s">
        <v>166</v>
      </c>
      <c r="D11" s="28" t="s">
        <v>182</v>
      </c>
    </row>
    <row r="12" customFormat="false" ht="19.5" hidden="false" customHeight="true" outlineLevel="0" collapsed="false">
      <c r="A12" s="31" t="s">
        <v>183</v>
      </c>
      <c r="B12" s="32" t="str">
        <f aca="false">IF(B11&gt;0,"INVEST — Positive NPV","Currently negative — see sensitivity below")</f>
        <v>Currently negative — see sensitivity below</v>
      </c>
      <c r="C12" s="27"/>
      <c r="D12" s="28" t="s">
        <v>184</v>
      </c>
    </row>
    <row r="13" customFormat="false" ht="18" hidden="false" customHeight="true" outlineLevel="0" collapsed="false">
      <c r="A13" s="4" t="s">
        <v>185</v>
      </c>
      <c r="B13" s="4"/>
      <c r="C13" s="4"/>
      <c r="D13" s="4"/>
    </row>
    <row r="14" customFormat="false" ht="19.5" hidden="false" customHeight="true" outlineLevel="0" collapsed="false">
      <c r="A14" s="18" t="s">
        <v>186</v>
      </c>
      <c r="B14" s="19" t="n">
        <f aca="false">(Assumptions!B4*Assumptions!B5*277.78/Assumptions!B9*Assumptions!B13+Assumptions!B4*Assumptions!B5*277.78/Assumptions!B9*Assumptions!B28/1000*Assumptions!B17-Assumptions!B4*Assumptions!B5*277.78/Assumptions!B10*Assumptions!B15/1000*Assumptions!B17-(B5/Assumptions!B25))/(Assumptions!B4*Assumptions!B5*277.78/Assumptions!B10)</f>
        <v>0.0725124491404069</v>
      </c>
      <c r="C14" s="25" t="s">
        <v>42</v>
      </c>
      <c r="D14" s="20" t="s">
        <v>187</v>
      </c>
    </row>
    <row r="15" customFormat="false" ht="19.5" hidden="false" customHeight="true" outlineLevel="0" collapsed="false">
      <c r="A15" s="18" t="s">
        <v>188</v>
      </c>
      <c r="B15" s="19" t="n">
        <f aca="false">IF('Annual Cost Analysis'!D6&gt;0,(B5/Assumptions!B25-'Annual Cost Analysis'!D5-'Annual Cost Analysis'!D8)/'Annual Cost Analysis'!D6,0)</f>
        <v>270.004022325123</v>
      </c>
      <c r="C15" s="25" t="s">
        <v>57</v>
      </c>
      <c r="D15" s="20" t="s">
        <v>189</v>
      </c>
    </row>
    <row r="16" customFormat="false" ht="19.5" hidden="false" customHeight="true" outlineLevel="0" collapsed="false">
      <c r="A16" s="18" t="s">
        <v>190</v>
      </c>
      <c r="B16" s="19" t="n">
        <f aca="false">Assumptions!B18</f>
        <v>126</v>
      </c>
      <c r="C16" s="25" t="s">
        <v>57</v>
      </c>
      <c r="D16" s="20" t="s">
        <v>191</v>
      </c>
    </row>
    <row r="17" customFormat="false" ht="18" hidden="false" customHeight="true" outlineLevel="0" collapsed="false">
      <c r="A17" s="4" t="s">
        <v>192</v>
      </c>
      <c r="B17" s="4"/>
      <c r="C17" s="4"/>
      <c r="D17" s="4"/>
    </row>
    <row r="18" customFormat="false" ht="19.5" hidden="false" customHeight="true" outlineLevel="0" collapsed="false">
      <c r="A18" s="18" t="s">
        <v>193</v>
      </c>
      <c r="B18" s="19" t="n">
        <f aca="false">'Annual Cost Analysis'!D6</f>
        <v>39444.76</v>
      </c>
      <c r="C18" s="25" t="s">
        <v>11</v>
      </c>
      <c r="D18" s="20"/>
    </row>
    <row r="19" customFormat="false" ht="19.5" hidden="false" customHeight="true" outlineLevel="0" collapsed="false">
      <c r="A19" s="18" t="s">
        <v>194</v>
      </c>
      <c r="B19" s="19" t="n">
        <f aca="false">B18*Assumptions!B25</f>
        <v>591671.4</v>
      </c>
      <c r="C19" s="25" t="s">
        <v>195</v>
      </c>
      <c r="D19" s="20" t="s">
        <v>196</v>
      </c>
    </row>
    <row r="20" customFormat="false" ht="19.5" hidden="false" customHeight="true" outlineLevel="0" collapsed="false">
      <c r="A20" s="18" t="s">
        <v>197</v>
      </c>
      <c r="B20" s="19" t="n">
        <f aca="false">B18/1.2</f>
        <v>32870.6333333333</v>
      </c>
      <c r="C20" s="25" t="s">
        <v>198</v>
      </c>
      <c r="D20" s="20" t="s">
        <v>199</v>
      </c>
    </row>
  </sheetData>
  <mergeCells count="6">
    <mergeCell ref="A1:D1"/>
    <mergeCell ref="A2:D2"/>
    <mergeCell ref="A6:D6"/>
    <mergeCell ref="A9:D9"/>
    <mergeCell ref="A13:D13"/>
    <mergeCell ref="A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2026-03-11T09:44:24Z</dcterms:created>
  <dc:creator>openpyxl</dc:creator>
  <dc:description/>
  <dc:language>en-US</dc:language>
  <cp:lastModifiedBy/>
  <dcterms:modified xsi:type="dcterms:W3CDTF">2026-03-11T09:44:24Z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